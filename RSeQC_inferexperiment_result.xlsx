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09"/>
  <workbookPr/>
  <mc:AlternateContent xmlns:mc="http://schemas.openxmlformats.org/markup-compatibility/2006">
    <mc:Choice Requires="x15">
      <x15ac:absPath xmlns:x15ac="http://schemas.microsoft.com/office/spreadsheetml/2010/11/ac" url="/Users/hnatri/Dropbox (ASU)/ICGC_HCC/"/>
    </mc:Choice>
  </mc:AlternateContent>
  <bookViews>
    <workbookView xWindow="2260" yWindow="1220" windowWidth="31980" windowHeight="18880" tabRatio="500"/>
  </bookViews>
  <sheets>
    <sheet name="Sheet1" sheetId="1" r:id="rId1"/>
    <sheet name="Sheet2" sheetId="2" r:id="rId2"/>
  </sheets>
  <definedNames>
    <definedName name="_xlnm._FilterDatabase" localSheetId="0" hidden="1">Sheet1!$A$1:$H$437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0" i="1" l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  <c r="M3" i="1"/>
  <c r="M1" i="1"/>
  <c r="E33" i="1"/>
  <c r="E34" i="1"/>
  <c r="E35" i="1"/>
  <c r="H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32" i="1"/>
  <c r="E31" i="1"/>
  <c r="H31" i="1"/>
  <c r="E30" i="1"/>
  <c r="E29" i="1"/>
  <c r="E28" i="1"/>
  <c r="E27" i="1"/>
  <c r="H27" i="1"/>
  <c r="E26" i="1"/>
  <c r="E25" i="1"/>
  <c r="E24" i="1"/>
  <c r="E23" i="1"/>
  <c r="H23" i="1"/>
  <c r="E22" i="1"/>
  <c r="E21" i="1"/>
  <c r="E20" i="1"/>
  <c r="E19" i="1"/>
  <c r="H19" i="1"/>
  <c r="E18" i="1"/>
  <c r="E17" i="1"/>
  <c r="E16" i="1"/>
  <c r="E15" i="1"/>
  <c r="H15" i="1"/>
  <c r="E14" i="1"/>
  <c r="E13" i="1"/>
  <c r="E12" i="1"/>
  <c r="E11" i="1"/>
  <c r="E10" i="1"/>
  <c r="E9" i="1"/>
  <c r="E8" i="1"/>
  <c r="E7" i="1"/>
  <c r="E6" i="1"/>
  <c r="E5" i="1"/>
  <c r="M5" i="1"/>
  <c r="E4" i="1"/>
  <c r="M4" i="1"/>
  <c r="E3" i="1"/>
  <c r="M2" i="1"/>
  <c r="E2" i="1"/>
  <c r="G27" i="1"/>
  <c r="H2" i="1"/>
  <c r="G2" i="1"/>
  <c r="H4" i="1"/>
  <c r="G4" i="1"/>
  <c r="H431" i="1"/>
  <c r="G431" i="1"/>
  <c r="H427" i="1"/>
  <c r="G427" i="1"/>
  <c r="H415" i="1"/>
  <c r="G415" i="1"/>
  <c r="H403" i="1"/>
  <c r="G403" i="1"/>
  <c r="H399" i="1"/>
  <c r="G399" i="1"/>
  <c r="H395" i="1"/>
  <c r="G395" i="1"/>
  <c r="H383" i="1"/>
  <c r="G383" i="1"/>
  <c r="H379" i="1"/>
  <c r="G379" i="1"/>
  <c r="H375" i="1"/>
  <c r="G375" i="1"/>
  <c r="H363" i="1"/>
  <c r="G363" i="1"/>
  <c r="H359" i="1"/>
  <c r="G359" i="1"/>
  <c r="H355" i="1"/>
  <c r="G355" i="1"/>
  <c r="H351" i="1"/>
  <c r="G351" i="1"/>
  <c r="H347" i="1"/>
  <c r="G347" i="1"/>
  <c r="H343" i="1"/>
  <c r="G343" i="1"/>
  <c r="H339" i="1"/>
  <c r="G339" i="1"/>
  <c r="H335" i="1"/>
  <c r="G335" i="1"/>
  <c r="H323" i="1"/>
  <c r="G323" i="1"/>
  <c r="H319" i="1"/>
  <c r="G319" i="1"/>
  <c r="H315" i="1"/>
  <c r="G315" i="1"/>
  <c r="H311" i="1"/>
  <c r="G311" i="1"/>
  <c r="H307" i="1"/>
  <c r="G307" i="1"/>
  <c r="H303" i="1"/>
  <c r="G303" i="1"/>
  <c r="H299" i="1"/>
  <c r="G299" i="1"/>
  <c r="G295" i="1"/>
  <c r="H295" i="1"/>
  <c r="H291" i="1"/>
  <c r="G291" i="1"/>
  <c r="H287" i="1"/>
  <c r="G287" i="1"/>
  <c r="H283" i="1"/>
  <c r="G283" i="1"/>
  <c r="H279" i="1"/>
  <c r="G279" i="1"/>
  <c r="H275" i="1"/>
  <c r="G275" i="1"/>
  <c r="H271" i="1"/>
  <c r="G271" i="1"/>
  <c r="H267" i="1"/>
  <c r="G267" i="1"/>
  <c r="H263" i="1"/>
  <c r="G263" i="1"/>
  <c r="H259" i="1"/>
  <c r="G259" i="1"/>
  <c r="H255" i="1"/>
  <c r="G255" i="1"/>
  <c r="H251" i="1"/>
  <c r="G251" i="1"/>
  <c r="H247" i="1"/>
  <c r="G247" i="1"/>
  <c r="H243" i="1"/>
  <c r="G243" i="1"/>
  <c r="H239" i="1"/>
  <c r="G239" i="1"/>
  <c r="H235" i="1"/>
  <c r="G235" i="1"/>
  <c r="H231" i="1"/>
  <c r="G231" i="1"/>
  <c r="H227" i="1"/>
  <c r="G227" i="1"/>
  <c r="H223" i="1"/>
  <c r="G223" i="1"/>
  <c r="H219" i="1"/>
  <c r="G219" i="1"/>
  <c r="H215" i="1"/>
  <c r="G215" i="1"/>
  <c r="H211" i="1"/>
  <c r="G211" i="1"/>
  <c r="H207" i="1"/>
  <c r="G207" i="1"/>
  <c r="H203" i="1"/>
  <c r="G203" i="1"/>
  <c r="H199" i="1"/>
  <c r="G199" i="1"/>
  <c r="H195" i="1"/>
  <c r="G195" i="1"/>
  <c r="H191" i="1"/>
  <c r="G191" i="1"/>
  <c r="H187" i="1"/>
  <c r="G187" i="1"/>
  <c r="H183" i="1"/>
  <c r="G183" i="1"/>
  <c r="H179" i="1"/>
  <c r="G179" i="1"/>
  <c r="H175" i="1"/>
  <c r="G175" i="1"/>
  <c r="H171" i="1"/>
  <c r="G171" i="1"/>
  <c r="H167" i="1"/>
  <c r="G167" i="1"/>
  <c r="H163" i="1"/>
  <c r="G163" i="1"/>
  <c r="H159" i="1"/>
  <c r="G159" i="1"/>
  <c r="H155" i="1"/>
  <c r="G155" i="1"/>
  <c r="H151" i="1"/>
  <c r="G151" i="1"/>
  <c r="H147" i="1"/>
  <c r="G147" i="1"/>
  <c r="H143" i="1"/>
  <c r="G143" i="1"/>
  <c r="H139" i="1"/>
  <c r="G139" i="1"/>
  <c r="H135" i="1"/>
  <c r="G135" i="1"/>
  <c r="H131" i="1"/>
  <c r="G131" i="1"/>
  <c r="H127" i="1"/>
  <c r="G127" i="1"/>
  <c r="H123" i="1"/>
  <c r="G123" i="1"/>
  <c r="H119" i="1"/>
  <c r="G119" i="1"/>
  <c r="H115" i="1"/>
  <c r="G115" i="1"/>
  <c r="H111" i="1"/>
  <c r="G111" i="1"/>
  <c r="H107" i="1"/>
  <c r="G107" i="1"/>
  <c r="H103" i="1"/>
  <c r="G103" i="1"/>
  <c r="H99" i="1"/>
  <c r="G99" i="1"/>
  <c r="H95" i="1"/>
  <c r="G95" i="1"/>
  <c r="H91" i="1"/>
  <c r="G91" i="1"/>
  <c r="H87" i="1"/>
  <c r="G87" i="1"/>
  <c r="H83" i="1"/>
  <c r="G83" i="1"/>
  <c r="H79" i="1"/>
  <c r="G79" i="1"/>
  <c r="H75" i="1"/>
  <c r="G75" i="1"/>
  <c r="H71" i="1"/>
  <c r="G71" i="1"/>
  <c r="H67" i="1"/>
  <c r="G67" i="1"/>
  <c r="H63" i="1"/>
  <c r="G63" i="1"/>
  <c r="H59" i="1"/>
  <c r="G59" i="1"/>
  <c r="H55" i="1"/>
  <c r="G55" i="1"/>
  <c r="H51" i="1"/>
  <c r="G51" i="1"/>
  <c r="H47" i="1"/>
  <c r="G47" i="1"/>
  <c r="H43" i="1"/>
  <c r="G43" i="1"/>
  <c r="H39" i="1"/>
  <c r="G39" i="1"/>
  <c r="G23" i="1"/>
  <c r="H10" i="1"/>
  <c r="G10" i="1"/>
  <c r="H18" i="1"/>
  <c r="G18" i="1"/>
  <c r="H26" i="1"/>
  <c r="G26" i="1"/>
  <c r="H436" i="1"/>
  <c r="G436" i="1"/>
  <c r="H428" i="1"/>
  <c r="G428" i="1"/>
  <c r="H420" i="1"/>
  <c r="G420" i="1"/>
  <c r="H412" i="1"/>
  <c r="G412" i="1"/>
  <c r="H404" i="1"/>
  <c r="G404" i="1"/>
  <c r="H396" i="1"/>
  <c r="G396" i="1"/>
  <c r="H388" i="1"/>
  <c r="G388" i="1"/>
  <c r="H380" i="1"/>
  <c r="G380" i="1"/>
  <c r="H372" i="1"/>
  <c r="G372" i="1"/>
  <c r="H364" i="1"/>
  <c r="G364" i="1"/>
  <c r="H356" i="1"/>
  <c r="G356" i="1"/>
  <c r="H348" i="1"/>
  <c r="G348" i="1"/>
  <c r="H340" i="1"/>
  <c r="G340" i="1"/>
  <c r="H332" i="1"/>
  <c r="G332" i="1"/>
  <c r="H328" i="1"/>
  <c r="G328" i="1"/>
  <c r="G316" i="1"/>
  <c r="H316" i="1"/>
  <c r="H308" i="1"/>
  <c r="G308" i="1"/>
  <c r="H300" i="1"/>
  <c r="G300" i="1"/>
  <c r="H292" i="1"/>
  <c r="G292" i="1"/>
  <c r="H288" i="1"/>
  <c r="G288" i="1"/>
  <c r="H280" i="1"/>
  <c r="G280" i="1"/>
  <c r="H268" i="1"/>
  <c r="G268" i="1"/>
  <c r="H260" i="1"/>
  <c r="G260" i="1"/>
  <c r="H252" i="1"/>
  <c r="G252" i="1"/>
  <c r="H244" i="1"/>
  <c r="G244" i="1"/>
  <c r="H236" i="1"/>
  <c r="G236" i="1"/>
  <c r="H228" i="1"/>
  <c r="G228" i="1"/>
  <c r="H220" i="1"/>
  <c r="G220" i="1"/>
  <c r="H212" i="1"/>
  <c r="G212" i="1"/>
  <c r="H204" i="1"/>
  <c r="G204" i="1"/>
  <c r="H196" i="1"/>
  <c r="G196" i="1"/>
  <c r="H188" i="1"/>
  <c r="G188" i="1"/>
  <c r="H180" i="1"/>
  <c r="G180" i="1"/>
  <c r="H172" i="1"/>
  <c r="G172" i="1"/>
  <c r="H168" i="1"/>
  <c r="G168" i="1"/>
  <c r="H160" i="1"/>
  <c r="G160" i="1"/>
  <c r="G152" i="1"/>
  <c r="H152" i="1"/>
  <c r="H144" i="1"/>
  <c r="G144" i="1"/>
  <c r="H136" i="1"/>
  <c r="G136" i="1"/>
  <c r="H128" i="1"/>
  <c r="G128" i="1"/>
  <c r="H120" i="1"/>
  <c r="G120" i="1"/>
  <c r="H112" i="1"/>
  <c r="G112" i="1"/>
  <c r="H104" i="1"/>
  <c r="G104" i="1"/>
  <c r="H96" i="1"/>
  <c r="G96" i="1"/>
  <c r="H88" i="1"/>
  <c r="G88" i="1"/>
  <c r="H80" i="1"/>
  <c r="G80" i="1"/>
  <c r="H72" i="1"/>
  <c r="G72" i="1"/>
  <c r="H60" i="1"/>
  <c r="G60" i="1"/>
  <c r="G52" i="1"/>
  <c r="H52" i="1"/>
  <c r="H48" i="1"/>
  <c r="G48" i="1"/>
  <c r="H40" i="1"/>
  <c r="G40" i="1"/>
  <c r="H11" i="1"/>
  <c r="G11" i="1"/>
  <c r="H423" i="1"/>
  <c r="G423" i="1"/>
  <c r="H411" i="1"/>
  <c r="G411" i="1"/>
  <c r="H391" i="1"/>
  <c r="G391" i="1"/>
  <c r="H371" i="1"/>
  <c r="G371" i="1"/>
  <c r="H331" i="1"/>
  <c r="G331" i="1"/>
  <c r="H28" i="1"/>
  <c r="G28" i="1"/>
  <c r="H32" i="1"/>
  <c r="G32" i="1"/>
  <c r="H434" i="1"/>
  <c r="G434" i="1"/>
  <c r="H430" i="1"/>
  <c r="G430" i="1"/>
  <c r="H426" i="1"/>
  <c r="G426" i="1"/>
  <c r="H422" i="1"/>
  <c r="G422" i="1"/>
  <c r="H418" i="1"/>
  <c r="G418" i="1"/>
  <c r="H414" i="1"/>
  <c r="G414" i="1"/>
  <c r="H410" i="1"/>
  <c r="G410" i="1"/>
  <c r="H406" i="1"/>
  <c r="G406" i="1"/>
  <c r="H402" i="1"/>
  <c r="G402" i="1"/>
  <c r="H398" i="1"/>
  <c r="G398" i="1"/>
  <c r="H394" i="1"/>
  <c r="G394" i="1"/>
  <c r="H390" i="1"/>
  <c r="G390" i="1"/>
  <c r="H386" i="1"/>
  <c r="G386" i="1"/>
  <c r="H382" i="1"/>
  <c r="G382" i="1"/>
  <c r="H378" i="1"/>
  <c r="G378" i="1"/>
  <c r="H374" i="1"/>
  <c r="G374" i="1"/>
  <c r="H370" i="1"/>
  <c r="G370" i="1"/>
  <c r="H366" i="1"/>
  <c r="G366" i="1"/>
  <c r="H362" i="1"/>
  <c r="G362" i="1"/>
  <c r="H358" i="1"/>
  <c r="G358" i="1"/>
  <c r="H354" i="1"/>
  <c r="G354" i="1"/>
  <c r="H350" i="1"/>
  <c r="G350" i="1"/>
  <c r="H346" i="1"/>
  <c r="G346" i="1"/>
  <c r="H342" i="1"/>
  <c r="G342" i="1"/>
  <c r="G338" i="1"/>
  <c r="H338" i="1"/>
  <c r="H334" i="1"/>
  <c r="G334" i="1"/>
  <c r="H330" i="1"/>
  <c r="G330" i="1"/>
  <c r="H326" i="1"/>
  <c r="G326" i="1"/>
  <c r="H322" i="1"/>
  <c r="G322" i="1"/>
  <c r="H318" i="1"/>
  <c r="G318" i="1"/>
  <c r="H314" i="1"/>
  <c r="G314" i="1"/>
  <c r="H310" i="1"/>
  <c r="G310" i="1"/>
  <c r="H306" i="1"/>
  <c r="G306" i="1"/>
  <c r="H302" i="1"/>
  <c r="G302" i="1"/>
  <c r="H298" i="1"/>
  <c r="G298" i="1"/>
  <c r="H294" i="1"/>
  <c r="G294" i="1"/>
  <c r="H290" i="1"/>
  <c r="G290" i="1"/>
  <c r="H286" i="1"/>
  <c r="G286" i="1"/>
  <c r="H282" i="1"/>
  <c r="G282" i="1"/>
  <c r="G278" i="1"/>
  <c r="H278" i="1"/>
  <c r="G274" i="1"/>
  <c r="H274" i="1"/>
  <c r="H270" i="1"/>
  <c r="G270" i="1"/>
  <c r="H266" i="1"/>
  <c r="G266" i="1"/>
  <c r="H262" i="1"/>
  <c r="G262" i="1"/>
  <c r="H258" i="1"/>
  <c r="G258" i="1"/>
  <c r="G254" i="1"/>
  <c r="H254" i="1"/>
  <c r="H250" i="1"/>
  <c r="G250" i="1"/>
  <c r="H246" i="1"/>
  <c r="G246" i="1"/>
  <c r="H242" i="1"/>
  <c r="G242" i="1"/>
  <c r="G238" i="1"/>
  <c r="H238" i="1"/>
  <c r="H234" i="1"/>
  <c r="G234" i="1"/>
  <c r="H230" i="1"/>
  <c r="G230" i="1"/>
  <c r="H226" i="1"/>
  <c r="G226" i="1"/>
  <c r="G222" i="1"/>
  <c r="H222" i="1"/>
  <c r="H218" i="1"/>
  <c r="G218" i="1"/>
  <c r="H214" i="1"/>
  <c r="G214" i="1"/>
  <c r="H210" i="1"/>
  <c r="G210" i="1"/>
  <c r="G206" i="1"/>
  <c r="H206" i="1"/>
  <c r="H202" i="1"/>
  <c r="G202" i="1"/>
  <c r="H198" i="1"/>
  <c r="G198" i="1"/>
  <c r="H194" i="1"/>
  <c r="G194" i="1"/>
  <c r="G190" i="1"/>
  <c r="H190" i="1"/>
  <c r="H186" i="1"/>
  <c r="G186" i="1"/>
  <c r="H182" i="1"/>
  <c r="G182" i="1"/>
  <c r="H178" i="1"/>
  <c r="G178" i="1"/>
  <c r="G174" i="1"/>
  <c r="H174" i="1"/>
  <c r="H170" i="1"/>
  <c r="G170" i="1"/>
  <c r="H166" i="1"/>
  <c r="G166" i="1"/>
  <c r="H162" i="1"/>
  <c r="G162" i="1"/>
  <c r="G158" i="1"/>
  <c r="H158" i="1"/>
  <c r="H154" i="1"/>
  <c r="G154" i="1"/>
  <c r="H150" i="1"/>
  <c r="G150" i="1"/>
  <c r="H146" i="1"/>
  <c r="G146" i="1"/>
  <c r="G142" i="1"/>
  <c r="H142" i="1"/>
  <c r="H138" i="1"/>
  <c r="G138" i="1"/>
  <c r="H134" i="1"/>
  <c r="G134" i="1"/>
  <c r="H130" i="1"/>
  <c r="G130" i="1"/>
  <c r="G126" i="1"/>
  <c r="H126" i="1"/>
  <c r="H122" i="1"/>
  <c r="G122" i="1"/>
  <c r="H118" i="1"/>
  <c r="G118" i="1"/>
  <c r="H114" i="1"/>
  <c r="G114" i="1"/>
  <c r="H110" i="1"/>
  <c r="G110" i="1"/>
  <c r="H106" i="1"/>
  <c r="G106" i="1"/>
  <c r="H102" i="1"/>
  <c r="G102" i="1"/>
  <c r="H98" i="1"/>
  <c r="G98" i="1"/>
  <c r="H94" i="1"/>
  <c r="G94" i="1"/>
  <c r="H90" i="1"/>
  <c r="G90" i="1"/>
  <c r="H86" i="1"/>
  <c r="G86" i="1"/>
  <c r="H82" i="1"/>
  <c r="G82" i="1"/>
  <c r="H78" i="1"/>
  <c r="G78" i="1"/>
  <c r="H74" i="1"/>
  <c r="G74" i="1"/>
  <c r="H70" i="1"/>
  <c r="G70" i="1"/>
  <c r="H66" i="1"/>
  <c r="G66" i="1"/>
  <c r="H62" i="1"/>
  <c r="G62" i="1"/>
  <c r="H58" i="1"/>
  <c r="G58" i="1"/>
  <c r="H54" i="1"/>
  <c r="G54" i="1"/>
  <c r="H50" i="1"/>
  <c r="G50" i="1"/>
  <c r="H46" i="1"/>
  <c r="G46" i="1"/>
  <c r="H42" i="1"/>
  <c r="G42" i="1"/>
  <c r="H38" i="1"/>
  <c r="G38" i="1"/>
  <c r="H34" i="1"/>
  <c r="G34" i="1"/>
  <c r="G35" i="1"/>
  <c r="G19" i="1"/>
  <c r="H6" i="1"/>
  <c r="G6" i="1"/>
  <c r="H14" i="1"/>
  <c r="G14" i="1"/>
  <c r="H22" i="1"/>
  <c r="G22" i="1"/>
  <c r="H30" i="1"/>
  <c r="G30" i="1"/>
  <c r="H432" i="1"/>
  <c r="G432" i="1"/>
  <c r="H424" i="1"/>
  <c r="G424" i="1"/>
  <c r="H416" i="1"/>
  <c r="G416" i="1"/>
  <c r="H408" i="1"/>
  <c r="G408" i="1"/>
  <c r="H400" i="1"/>
  <c r="G400" i="1"/>
  <c r="H392" i="1"/>
  <c r="G392" i="1"/>
  <c r="H384" i="1"/>
  <c r="G384" i="1"/>
  <c r="H376" i="1"/>
  <c r="G376" i="1"/>
  <c r="H368" i="1"/>
  <c r="G368" i="1"/>
  <c r="H360" i="1"/>
  <c r="G360" i="1"/>
  <c r="H352" i="1"/>
  <c r="G352" i="1"/>
  <c r="H344" i="1"/>
  <c r="G344" i="1"/>
  <c r="H336" i="1"/>
  <c r="G336" i="1"/>
  <c r="H324" i="1"/>
  <c r="G324" i="1"/>
  <c r="H320" i="1"/>
  <c r="G320" i="1"/>
  <c r="H312" i="1"/>
  <c r="G312" i="1"/>
  <c r="H304" i="1"/>
  <c r="G304" i="1"/>
  <c r="H296" i="1"/>
  <c r="G296" i="1"/>
  <c r="G284" i="1"/>
  <c r="H284" i="1"/>
  <c r="H276" i="1"/>
  <c r="G276" i="1"/>
  <c r="H272" i="1"/>
  <c r="G272" i="1"/>
  <c r="H264" i="1"/>
  <c r="G264" i="1"/>
  <c r="H256" i="1"/>
  <c r="G256" i="1"/>
  <c r="G248" i="1"/>
  <c r="H248" i="1"/>
  <c r="H240" i="1"/>
  <c r="G240" i="1"/>
  <c r="H232" i="1"/>
  <c r="G232" i="1"/>
  <c r="H224" i="1"/>
  <c r="G224" i="1"/>
  <c r="G216" i="1"/>
  <c r="H216" i="1"/>
  <c r="H208" i="1"/>
  <c r="G208" i="1"/>
  <c r="H200" i="1"/>
  <c r="G200" i="1"/>
  <c r="H192" i="1"/>
  <c r="G192" i="1"/>
  <c r="G184" i="1"/>
  <c r="H184" i="1"/>
  <c r="H176" i="1"/>
  <c r="G176" i="1"/>
  <c r="H164" i="1"/>
  <c r="G164" i="1"/>
  <c r="H156" i="1"/>
  <c r="G156" i="1"/>
  <c r="H148" i="1"/>
  <c r="G148" i="1"/>
  <c r="H140" i="1"/>
  <c r="G140" i="1"/>
  <c r="H132" i="1"/>
  <c r="G132" i="1"/>
  <c r="H124" i="1"/>
  <c r="G124" i="1"/>
  <c r="G116" i="1"/>
  <c r="H116" i="1"/>
  <c r="H108" i="1"/>
  <c r="G108" i="1"/>
  <c r="G100" i="1"/>
  <c r="H100" i="1"/>
  <c r="H92" i="1"/>
  <c r="G92" i="1"/>
  <c r="H84" i="1"/>
  <c r="G84" i="1"/>
  <c r="H76" i="1"/>
  <c r="G76" i="1"/>
  <c r="G68" i="1"/>
  <c r="H68" i="1"/>
  <c r="H64" i="1"/>
  <c r="G64" i="1"/>
  <c r="H56" i="1"/>
  <c r="G56" i="1"/>
  <c r="H44" i="1"/>
  <c r="G44" i="1"/>
  <c r="G36" i="1"/>
  <c r="H36" i="1"/>
  <c r="H7" i="1"/>
  <c r="G7" i="1"/>
  <c r="H435" i="1"/>
  <c r="G435" i="1"/>
  <c r="H419" i="1"/>
  <c r="G419" i="1"/>
  <c r="H407" i="1"/>
  <c r="G407" i="1"/>
  <c r="H387" i="1"/>
  <c r="G387" i="1"/>
  <c r="H367" i="1"/>
  <c r="G367" i="1"/>
  <c r="H327" i="1"/>
  <c r="G327" i="1"/>
  <c r="H8" i="1"/>
  <c r="G8" i="1"/>
  <c r="H12" i="1"/>
  <c r="G12" i="1"/>
  <c r="H16" i="1"/>
  <c r="G16" i="1"/>
  <c r="H20" i="1"/>
  <c r="G20" i="1"/>
  <c r="H24" i="1"/>
  <c r="G24" i="1"/>
  <c r="H3" i="1"/>
  <c r="G3" i="1"/>
  <c r="H5" i="1"/>
  <c r="G5" i="1"/>
  <c r="H9" i="1"/>
  <c r="G9" i="1"/>
  <c r="H13" i="1"/>
  <c r="G13" i="1"/>
  <c r="H17" i="1"/>
  <c r="G17" i="1"/>
  <c r="H21" i="1"/>
  <c r="G21" i="1"/>
  <c r="H25" i="1"/>
  <c r="G25" i="1"/>
  <c r="H29" i="1"/>
  <c r="G29" i="1"/>
  <c r="H437" i="1"/>
  <c r="G437" i="1"/>
  <c r="H433" i="1"/>
  <c r="G433" i="1"/>
  <c r="H429" i="1"/>
  <c r="G429" i="1"/>
  <c r="H425" i="1"/>
  <c r="G425" i="1"/>
  <c r="H421" i="1"/>
  <c r="G421" i="1"/>
  <c r="H417" i="1"/>
  <c r="G417" i="1"/>
  <c r="H413" i="1"/>
  <c r="G413" i="1"/>
  <c r="H409" i="1"/>
  <c r="G409" i="1"/>
  <c r="H405" i="1"/>
  <c r="G405" i="1"/>
  <c r="H401" i="1"/>
  <c r="G401" i="1"/>
  <c r="H397" i="1"/>
  <c r="G397" i="1"/>
  <c r="H393" i="1"/>
  <c r="G393" i="1"/>
  <c r="H389" i="1"/>
  <c r="G389" i="1"/>
  <c r="H385" i="1"/>
  <c r="G385" i="1"/>
  <c r="H381" i="1"/>
  <c r="G381" i="1"/>
  <c r="H377" i="1"/>
  <c r="G377" i="1"/>
  <c r="H373" i="1"/>
  <c r="G373" i="1"/>
  <c r="H369" i="1"/>
  <c r="G369" i="1"/>
  <c r="H365" i="1"/>
  <c r="G365" i="1"/>
  <c r="H361" i="1"/>
  <c r="G361" i="1"/>
  <c r="H357" i="1"/>
  <c r="G357" i="1"/>
  <c r="H353" i="1"/>
  <c r="G353" i="1"/>
  <c r="H349" i="1"/>
  <c r="G349" i="1"/>
  <c r="H345" i="1"/>
  <c r="G345" i="1"/>
  <c r="H341" i="1"/>
  <c r="G341" i="1"/>
  <c r="H337" i="1"/>
  <c r="G337" i="1"/>
  <c r="H333" i="1"/>
  <c r="G333" i="1"/>
  <c r="H329" i="1"/>
  <c r="G329" i="1"/>
  <c r="H325" i="1"/>
  <c r="G325" i="1"/>
  <c r="H321" i="1"/>
  <c r="G321" i="1"/>
  <c r="H317" i="1"/>
  <c r="G317" i="1"/>
  <c r="H313" i="1"/>
  <c r="G313" i="1"/>
  <c r="H309" i="1"/>
  <c r="G309" i="1"/>
  <c r="H305" i="1"/>
  <c r="G305" i="1"/>
  <c r="H301" i="1"/>
  <c r="G301" i="1"/>
  <c r="H297" i="1"/>
  <c r="G297" i="1"/>
  <c r="H293" i="1"/>
  <c r="G293" i="1"/>
  <c r="H289" i="1"/>
  <c r="G289" i="1"/>
  <c r="H285" i="1"/>
  <c r="G285" i="1"/>
  <c r="H281" i="1"/>
  <c r="G281" i="1"/>
  <c r="H277" i="1"/>
  <c r="G277" i="1"/>
  <c r="H273" i="1"/>
  <c r="G273" i="1"/>
  <c r="H269" i="1"/>
  <c r="G269" i="1"/>
  <c r="H265" i="1"/>
  <c r="G265" i="1"/>
  <c r="H261" i="1"/>
  <c r="G261" i="1"/>
  <c r="H257" i="1"/>
  <c r="G257" i="1"/>
  <c r="H253" i="1"/>
  <c r="G253" i="1"/>
  <c r="H249" i="1"/>
  <c r="G249" i="1"/>
  <c r="H245" i="1"/>
  <c r="G245" i="1"/>
  <c r="H241" i="1"/>
  <c r="G241" i="1"/>
  <c r="H237" i="1"/>
  <c r="G237" i="1"/>
  <c r="H233" i="1"/>
  <c r="G233" i="1"/>
  <c r="H229" i="1"/>
  <c r="G229" i="1"/>
  <c r="H225" i="1"/>
  <c r="G225" i="1"/>
  <c r="H221" i="1"/>
  <c r="G221" i="1"/>
  <c r="H217" i="1"/>
  <c r="G217" i="1"/>
  <c r="H213" i="1"/>
  <c r="G213" i="1"/>
  <c r="H209" i="1"/>
  <c r="G209" i="1"/>
  <c r="H205" i="1"/>
  <c r="G205" i="1"/>
  <c r="H201" i="1"/>
  <c r="G201" i="1"/>
  <c r="H197" i="1"/>
  <c r="G197" i="1"/>
  <c r="H193" i="1"/>
  <c r="G193" i="1"/>
  <c r="H189" i="1"/>
  <c r="G189" i="1"/>
  <c r="H185" i="1"/>
  <c r="G185" i="1"/>
  <c r="H181" i="1"/>
  <c r="G181" i="1"/>
  <c r="H177" i="1"/>
  <c r="G177" i="1"/>
  <c r="H173" i="1"/>
  <c r="G173" i="1"/>
  <c r="H169" i="1"/>
  <c r="G169" i="1"/>
  <c r="H165" i="1"/>
  <c r="G165" i="1"/>
  <c r="H161" i="1"/>
  <c r="G161" i="1"/>
  <c r="H157" i="1"/>
  <c r="G157" i="1"/>
  <c r="H153" i="1"/>
  <c r="G153" i="1"/>
  <c r="H149" i="1"/>
  <c r="G149" i="1"/>
  <c r="H145" i="1"/>
  <c r="G145" i="1"/>
  <c r="H141" i="1"/>
  <c r="G141" i="1"/>
  <c r="H137" i="1"/>
  <c r="G137" i="1"/>
  <c r="H133" i="1"/>
  <c r="G133" i="1"/>
  <c r="H129" i="1"/>
  <c r="G129" i="1"/>
  <c r="H125" i="1"/>
  <c r="G125" i="1"/>
  <c r="H121" i="1"/>
  <c r="G121" i="1"/>
  <c r="H117" i="1"/>
  <c r="G117" i="1"/>
  <c r="H113" i="1"/>
  <c r="G113" i="1"/>
  <c r="H109" i="1"/>
  <c r="G109" i="1"/>
  <c r="H105" i="1"/>
  <c r="G105" i="1"/>
  <c r="H101" i="1"/>
  <c r="G101" i="1"/>
  <c r="H97" i="1"/>
  <c r="G97" i="1"/>
  <c r="H93" i="1"/>
  <c r="G93" i="1"/>
  <c r="H89" i="1"/>
  <c r="G89" i="1"/>
  <c r="H85" i="1"/>
  <c r="G85" i="1"/>
  <c r="H81" i="1"/>
  <c r="G81" i="1"/>
  <c r="H77" i="1"/>
  <c r="G77" i="1"/>
  <c r="H73" i="1"/>
  <c r="G73" i="1"/>
  <c r="H69" i="1"/>
  <c r="G69" i="1"/>
  <c r="H65" i="1"/>
  <c r="G65" i="1"/>
  <c r="H61" i="1"/>
  <c r="G61" i="1"/>
  <c r="H57" i="1"/>
  <c r="G57" i="1"/>
  <c r="H53" i="1"/>
  <c r="G53" i="1"/>
  <c r="H49" i="1"/>
  <c r="G49" i="1"/>
  <c r="H45" i="1"/>
  <c r="G45" i="1"/>
  <c r="H41" i="1"/>
  <c r="G41" i="1"/>
  <c r="H37" i="1"/>
  <c r="G37" i="1"/>
  <c r="H33" i="1"/>
  <c r="G33" i="1"/>
  <c r="G31" i="1"/>
  <c r="G15" i="1"/>
  <c r="M15" i="1"/>
  <c r="M12" i="1"/>
  <c r="M13" i="1"/>
</calcChain>
</file>

<file path=xl/sharedStrings.xml><?xml version="1.0" encoding="utf-8"?>
<sst xmlns="http://schemas.openxmlformats.org/spreadsheetml/2006/main" count="1765" uniqueCount="897">
  <si>
    <t>Fraction of reads failed to determine</t>
  </si>
  <si>
    <t>RK001_cancer_XYHISAT2</t>
  </si>
  <si>
    <t>N of samples with "Fraction of reads failed to determine" less than 0.5</t>
  </si>
  <si>
    <t>RK001_liver_XYHISAT2</t>
  </si>
  <si>
    <t>N of samples with "Fraction of reads failed to determine" more than 0.5</t>
  </si>
  <si>
    <t>RK002_cancer_XYHISAT2</t>
  </si>
  <si>
    <t>N of samples with "Fraction of reads failed to determine" more than 0.8</t>
  </si>
  <si>
    <t>RK002_liver_XYHISAT2</t>
  </si>
  <si>
    <t>RK003_cancer_XYHISAT2</t>
  </si>
  <si>
    <t>RK003_liver_XYHISAT2</t>
  </si>
  <si>
    <t>RK004_cancer_XYHISAT2</t>
  </si>
  <si>
    <t>RK004_liver_XYHISAT2</t>
  </si>
  <si>
    <t>RK005_cancer_XYHISAT2</t>
  </si>
  <si>
    <t>RK005_liver_XYHISAT2</t>
  </si>
  <si>
    <t>RK006_cancer1_XYHISAT2</t>
  </si>
  <si>
    <t>RK006_cancer2_XYHISAT2</t>
  </si>
  <si>
    <t>RK006_liver_XYHISAT2</t>
  </si>
  <si>
    <t>RK007_cancer_XYHISAT2</t>
  </si>
  <si>
    <t>RK007_liver_XYHISAT2</t>
  </si>
  <si>
    <t>RK010_cancer_XYHISAT2</t>
  </si>
  <si>
    <t>RK010_liver_XYHISAT2</t>
  </si>
  <si>
    <t>RK012_cancer_XYHISAT2</t>
  </si>
  <si>
    <t>RK012_liver_XYHISAT2</t>
  </si>
  <si>
    <t>RK014_cancer_XYHISAT2</t>
  </si>
  <si>
    <t>RK014_liver_XYHISAT2</t>
  </si>
  <si>
    <t>RK015_cancer_XYHISAT2</t>
  </si>
  <si>
    <t>RK016_cancer_XXHISAT2</t>
  </si>
  <si>
    <t>RK016_liver_XXHISAT2</t>
  </si>
  <si>
    <t>RK018_cancer_XYHISAT2</t>
  </si>
  <si>
    <t>RK018_liver_XYHISAT2</t>
  </si>
  <si>
    <t>RK019_cancer_XYHISAT2</t>
  </si>
  <si>
    <t>RK019_liver_XYHISAT2</t>
  </si>
  <si>
    <t>RK020_cancer_XYHISAT2</t>
  </si>
  <si>
    <t>RK020_liver_XYHISAT2</t>
  </si>
  <si>
    <t>RK021_cancer_XYHISAT2</t>
  </si>
  <si>
    <t>RK021_liver_XYHISAT2</t>
  </si>
  <si>
    <t>RK022_cancer_XXHISAT2</t>
  </si>
  <si>
    <t>RK022_liver_XXHISAT2</t>
  </si>
  <si>
    <t>RK023_cancer_XYHISAT2</t>
  </si>
  <si>
    <t>RK023_liver_XYHISAT2</t>
  </si>
  <si>
    <t>RK024_cancer_XYHISAT2</t>
  </si>
  <si>
    <t>RK024_liver_XYHISAT2</t>
  </si>
  <si>
    <t>RK025_cancer_XXHISAT2</t>
  </si>
  <si>
    <t>RK025_liver_XXHISAT2</t>
  </si>
  <si>
    <t>RK026_cancer_XYHISAT2</t>
  </si>
  <si>
    <t>RK026_liver_XYHISAT2</t>
  </si>
  <si>
    <t>RK027_cancer_XYHISAT2</t>
  </si>
  <si>
    <t>RK027_liver_XYHISAT2</t>
  </si>
  <si>
    <t>RK028_cancer_XXHISAT2</t>
  </si>
  <si>
    <t>RK028_liver_XXHISAT2</t>
  </si>
  <si>
    <t>RK029_cancer_XYHISAT2</t>
  </si>
  <si>
    <t>RK029_liver_XYHISAT2</t>
  </si>
  <si>
    <t>RK030_cancer_XYHISAT2</t>
  </si>
  <si>
    <t>RK030_liver_XYHISAT2</t>
  </si>
  <si>
    <t>RK031_cancer_XYHISAT2</t>
  </si>
  <si>
    <t>RK031_liver_XYHISAT2</t>
  </si>
  <si>
    <t>RK032_cancer_XYHISAT2</t>
  </si>
  <si>
    <t>RK032_liver_XYHISAT2</t>
  </si>
  <si>
    <t>RK033_cancer_XYHISAT2</t>
  </si>
  <si>
    <t>RK033_liver_XYHISAT2</t>
  </si>
  <si>
    <t>RK034_cancer_XYHISAT2</t>
  </si>
  <si>
    <t>RK034_liver_XYHISAT2</t>
  </si>
  <si>
    <t>RK035_cancer_XYHISAT2</t>
  </si>
  <si>
    <t>RK035_liver_XYHISAT2</t>
  </si>
  <si>
    <t>RK036_cancer_XYHISAT2</t>
  </si>
  <si>
    <t>RK036_liver_XYHISAT2</t>
  </si>
  <si>
    <t>RK037_cancer_XYHISAT2</t>
  </si>
  <si>
    <t>RK037_liver_XYHISAT2</t>
  </si>
  <si>
    <t>RK038_cancer_XXHISAT2</t>
  </si>
  <si>
    <t>RK038_liver_XXHISAT2</t>
  </si>
  <si>
    <t>RK040_cancer_XXHISAT2</t>
  </si>
  <si>
    <t>RK040_liver_XXHISAT2</t>
  </si>
  <si>
    <t>RK041_cancer_XYHISAT2</t>
  </si>
  <si>
    <t>RK041_liver_XYHISAT2</t>
  </si>
  <si>
    <t>RK043_cancer_XYHISAT2</t>
  </si>
  <si>
    <t>RK043_liver_XYHISAT2</t>
  </si>
  <si>
    <t>RK044_cancer_XXHISAT2</t>
  </si>
  <si>
    <t>RK044_liver_XXHISAT2</t>
  </si>
  <si>
    <t>RK047_cancer_XXHISAT2</t>
  </si>
  <si>
    <t>RK047_liver_XXHISAT2</t>
  </si>
  <si>
    <t>RK048_cancer_XYHISAT2</t>
  </si>
  <si>
    <t>RK048_liver_XYHISAT2</t>
  </si>
  <si>
    <t>RK049_cancer_XYHISAT2</t>
  </si>
  <si>
    <t>RK050_cancer_XYHISAT2</t>
  </si>
  <si>
    <t>RK050_liver_XYHISAT2</t>
  </si>
  <si>
    <t>RK051_cancer_XYHISAT2</t>
  </si>
  <si>
    <t>RK051_liver_XYHISAT2</t>
  </si>
  <si>
    <t>RK052_cancer_XYHISAT2</t>
  </si>
  <si>
    <t>RK052_liver_XYHISAT2</t>
  </si>
  <si>
    <t>RK053_Cancer_XYHISAT2</t>
  </si>
  <si>
    <t>RK053_Liver_XYHISAT2</t>
  </si>
  <si>
    <t>RK054_cancer_XYHISAT2</t>
  </si>
  <si>
    <t>RK054_liver_XYHISAT2</t>
  </si>
  <si>
    <t>RK055_cancer_XYHISAT2</t>
  </si>
  <si>
    <t>RK055_liver_XYHISAT2</t>
  </si>
  <si>
    <t>RK056_cancer_XYHISAT2</t>
  </si>
  <si>
    <t>RK056_liver_XYHISAT2</t>
  </si>
  <si>
    <t>RK057_cancer_XYHISAT2</t>
  </si>
  <si>
    <t>RK057_liver_XYHISAT2</t>
  </si>
  <si>
    <t>RK058_cancer_XYHISAT2</t>
  </si>
  <si>
    <t>RK058_liver_XYHISAT2</t>
  </si>
  <si>
    <t>RK059_cancer_XYHISAT2</t>
  </si>
  <si>
    <t>RK059_liver_XYHISAT2</t>
  </si>
  <si>
    <t>RK060_cancer_XYHISAT2</t>
  </si>
  <si>
    <t>RK060_liver_XYHISAT2</t>
  </si>
  <si>
    <t>RK061_cancer_XYHISAT2</t>
  </si>
  <si>
    <t>RK061_liver_XYHISAT2</t>
  </si>
  <si>
    <t>RK062_cancer_XYHISAT2</t>
  </si>
  <si>
    <t>RK062_liver_XYHISAT2</t>
  </si>
  <si>
    <t>RK063_cancer_XXHISAT2</t>
  </si>
  <si>
    <t>RK063_liver_XXHISAT2</t>
  </si>
  <si>
    <t>RK064_cancer_XXHISAT2</t>
  </si>
  <si>
    <t>RK064_liver_XXHISAT2</t>
  </si>
  <si>
    <t>RK065_cancer_XXHISAT2</t>
  </si>
  <si>
    <t>RK065_liver_XXHISAT2</t>
  </si>
  <si>
    <t>RK066_cancer_XXHISAT2</t>
  </si>
  <si>
    <t>RK066_liver_XXHISAT2</t>
  </si>
  <si>
    <t>RK067_cancer_XYHISAT2</t>
  </si>
  <si>
    <t>RK068_cancer_XXHISAT2</t>
  </si>
  <si>
    <t>RK068_liver_XXHISAT2</t>
  </si>
  <si>
    <t>RK069_cancer_XXHISAT2</t>
  </si>
  <si>
    <t>RK069_liver_XXHISAT2</t>
  </si>
  <si>
    <t>RK070_cancer_XYHISAT2</t>
  </si>
  <si>
    <t>RK070_liver_XYHISAT2</t>
  </si>
  <si>
    <t>RK071_cancer_XXHISAT2</t>
  </si>
  <si>
    <t>RK071_liver_XXHISAT2</t>
  </si>
  <si>
    <t>RK072_cancer_XXHISAT2</t>
  </si>
  <si>
    <t>RK072_liver_XXHISAT2</t>
  </si>
  <si>
    <t>RK073_cancer_XYHISAT2</t>
  </si>
  <si>
    <t>RK073_liver_XYHISAT2</t>
  </si>
  <si>
    <t>RK074_cancer_XYHISAT2</t>
  </si>
  <si>
    <t>RK074_liver_XYHISAT2</t>
  </si>
  <si>
    <t>RK075_cancer_XYHISAT2</t>
  </si>
  <si>
    <t>RK075_liver_XYHISAT2</t>
  </si>
  <si>
    <t>RK076_cancer_XYHISAT2</t>
  </si>
  <si>
    <t>RK076_liver_XYHISAT2</t>
  </si>
  <si>
    <t>RK077_cancer_XYHISAT2</t>
  </si>
  <si>
    <t>RK077_liver_XYHISAT2</t>
  </si>
  <si>
    <t>RK079_cancer_XYHISAT2</t>
  </si>
  <si>
    <t>RK079_liver_XYHISAT2</t>
  </si>
  <si>
    <t>RK080_cancer_XXHISAT2</t>
  </si>
  <si>
    <t>RK080_liver_XXHISAT2</t>
  </si>
  <si>
    <t>RK081_cancer_XYHISAT2</t>
  </si>
  <si>
    <t>RK081_liver_XYHISAT2</t>
  </si>
  <si>
    <t>RK082_cancer_XYHISAT2</t>
  </si>
  <si>
    <t>RK083_cancer_XXHISAT2</t>
  </si>
  <si>
    <t>RK083_liver_XXHISAT2</t>
  </si>
  <si>
    <t>RK084_cancer_XXHISAT2</t>
  </si>
  <si>
    <t>RK085_cancer_XYHISAT2</t>
  </si>
  <si>
    <t>RK085_liver_XYHISAT2</t>
  </si>
  <si>
    <t>RK086_cancer_XYHISAT2</t>
  </si>
  <si>
    <t>RK088_cancer_XYHISAT2</t>
  </si>
  <si>
    <t>RK089_cancer_XYHISAT2</t>
  </si>
  <si>
    <t>RK089_liver_XYHISAT2</t>
  </si>
  <si>
    <t>RK091_cancer_XYHISAT2</t>
  </si>
  <si>
    <t>RK091_liver_XYHISAT2</t>
  </si>
  <si>
    <t>RK092_cancer_XYHISAT2</t>
  </si>
  <si>
    <t>RK092_liver_XYHISAT2</t>
  </si>
  <si>
    <t>RK093_cancer_XYHISAT2</t>
  </si>
  <si>
    <t>RK093_liver_XYHISAT2</t>
  </si>
  <si>
    <t>RK095_cancer_XXHISAT2</t>
  </si>
  <si>
    <t>RK095_liver_XXHISAT2</t>
  </si>
  <si>
    <t>RK096_cancer_XYHISAT2</t>
  </si>
  <si>
    <t>RK098_cancer_XXHISAT2</t>
  </si>
  <si>
    <t>RK098_liver_XXHISAT2</t>
  </si>
  <si>
    <t>RK099_cancer_XYHISAT2</t>
  </si>
  <si>
    <t>RK099_liver_XYHISAT2</t>
  </si>
  <si>
    <t>RK100_cancer_XXHISAT2</t>
  </si>
  <si>
    <t>RK100_liver_XXHISAT2</t>
  </si>
  <si>
    <t>RK101_cancer_XYHISAT2</t>
  </si>
  <si>
    <t>RK101_liver_XYHISAT2</t>
  </si>
  <si>
    <t>RK102_cancer_XYHISAT2</t>
  </si>
  <si>
    <t>RK102_liver_XYHISAT2</t>
  </si>
  <si>
    <t>RK103_cancer_XYHISAT2</t>
  </si>
  <si>
    <t>RK103_liver_XYHISAT2</t>
  </si>
  <si>
    <t>RK104_cancer_XYHISAT2</t>
  </si>
  <si>
    <t>RK104_liver_XYHISAT2</t>
  </si>
  <si>
    <t>RK105_cancer_XYHISAT2</t>
  </si>
  <si>
    <t>RK105_liver_XYHISAT2</t>
  </si>
  <si>
    <t>RK106_cancer_XXHISAT2</t>
  </si>
  <si>
    <t>RK106_liver_XXHISAT2</t>
  </si>
  <si>
    <t>RK107_cancer_XXHISAT2</t>
  </si>
  <si>
    <t>RK107_liver_XXHISAT2</t>
  </si>
  <si>
    <t>RK108_cancer_XYHISAT2</t>
  </si>
  <si>
    <t>RK109_cancer_XYHISAT2</t>
  </si>
  <si>
    <t>RK109_liver_XYHISAT2</t>
  </si>
  <si>
    <t>RK110_cancer_XYHISAT2</t>
  </si>
  <si>
    <t>RK110_liver_XYHISAT2</t>
  </si>
  <si>
    <t>RK111_cancer_XYHISAT2</t>
  </si>
  <si>
    <t>RK111_liver_XYHISAT2</t>
  </si>
  <si>
    <t>RK112_cancer_XYHISAT2</t>
  </si>
  <si>
    <t>RK113_cancer_XYHISAT2</t>
  </si>
  <si>
    <t>RK113_liver_XYHISAT2</t>
  </si>
  <si>
    <t>RK115_cancer_XXHISAT2</t>
  </si>
  <si>
    <t>RK115_liver_XXHISAT2</t>
  </si>
  <si>
    <t>RK116_cancer_XXHISAT2</t>
  </si>
  <si>
    <t>RK116_liver_XXHISAT2</t>
  </si>
  <si>
    <t>RK117_cancer_XXHISAT2</t>
  </si>
  <si>
    <t>RK117_liver_XXHISAT2</t>
  </si>
  <si>
    <t>RK118_cancer_XYHISAT2</t>
  </si>
  <si>
    <t>RK118_liver_XYHISAT2</t>
  </si>
  <si>
    <t>RK119_cancer_XXHISAT2</t>
  </si>
  <si>
    <t>RK119_liver_XXHISAT2</t>
  </si>
  <si>
    <t>RK120_cancer_XYHISAT2</t>
  </si>
  <si>
    <t>RK120_liver_XYHISAT2</t>
  </si>
  <si>
    <t>RK124_Cancer_XYHISAT2</t>
  </si>
  <si>
    <t>RK124_Liver_XYHISAT2</t>
  </si>
  <si>
    <t>RK125_cancer_XYHISAT2</t>
  </si>
  <si>
    <t>RK125_liver_XYHISAT2</t>
  </si>
  <si>
    <t>RK126_cancer_XYHISAT2</t>
  </si>
  <si>
    <t>RK126_liver_XYHISAT2</t>
  </si>
  <si>
    <t>RK128_cancer_XYHISAT2</t>
  </si>
  <si>
    <t>RK128_liver_XYHISAT2</t>
  </si>
  <si>
    <t>RK130_cancer_XYHISAT2</t>
  </si>
  <si>
    <t>RK130_liver_XYHISAT2</t>
  </si>
  <si>
    <t>RK131_cancer_XYHISAT2</t>
  </si>
  <si>
    <t>RK131_liver_XYHISAT2</t>
  </si>
  <si>
    <t>RK133_cancer_XYHISAT2</t>
  </si>
  <si>
    <t>RK134_cancer_XYHISAT2</t>
  </si>
  <si>
    <t>RK135_cancer_XXHISAT2</t>
  </si>
  <si>
    <t>RK137_cancer_XXHISAT2</t>
  </si>
  <si>
    <t>RK137_liver_XXHISAT2</t>
  </si>
  <si>
    <t>RK138_cancer_XXHISAT2</t>
  </si>
  <si>
    <t>RK138_liver_XXHISAT2</t>
  </si>
  <si>
    <t>RK140_cancer_XYHISAT2</t>
  </si>
  <si>
    <t>RK140_liver_XYHISAT2</t>
  </si>
  <si>
    <t>RK141_cancer_XXHISAT2</t>
  </si>
  <si>
    <t>RK141_liver_XXHISAT2</t>
  </si>
  <si>
    <t>RK142_cancer_XYHISAT2</t>
  </si>
  <si>
    <t>RK142_liver_XYHISAT2</t>
  </si>
  <si>
    <t>RK143_cancer_XYHISAT2</t>
  </si>
  <si>
    <t>RK143_liver_XYHISAT2</t>
  </si>
  <si>
    <t>RK145_cancer_XYHISAT2</t>
  </si>
  <si>
    <t>RK145_liver_XYHISAT2</t>
  </si>
  <si>
    <t>RK146_cancer_XXHISAT2</t>
  </si>
  <si>
    <t>RK146_liver_XXHISAT2</t>
  </si>
  <si>
    <t>RK147_cancer_XYHISAT2</t>
  </si>
  <si>
    <t>RK147_liver_XYHISAT2</t>
  </si>
  <si>
    <t>RK148_cancer_XYHISAT2</t>
  </si>
  <si>
    <t>RK149_cancer_XYHISAT2</t>
  </si>
  <si>
    <t>RK150_cancer_XYHISAT2</t>
  </si>
  <si>
    <t>RK151_cancer_XYHISAT2</t>
  </si>
  <si>
    <t>RK151_liver_XYHISAT2</t>
  </si>
  <si>
    <t>RK152_cancer_XYHISAT2</t>
  </si>
  <si>
    <t>RK153_cancer_XYHISAT2</t>
  </si>
  <si>
    <t>RK155_cancer_XXHISAT2</t>
  </si>
  <si>
    <t>RK155_liver_XXHISAT2</t>
  </si>
  <si>
    <t>RK156_cancer_XYHISAT2</t>
  </si>
  <si>
    <t>RK157_cancer_XYHISAT2</t>
  </si>
  <si>
    <t>RK157_liver_XYHISAT2</t>
  </si>
  <si>
    <t>RK159_cancer_XYHISAT2</t>
  </si>
  <si>
    <t>RK159_liver_XYHISAT2</t>
  </si>
  <si>
    <t>RK162_cancer_XYHISAT2</t>
  </si>
  <si>
    <t>RK162_liver_XYHISAT2</t>
  </si>
  <si>
    <t>RK163_Cancer_XXHISAT2</t>
  </si>
  <si>
    <t>RK163_Liver_XXHISAT2</t>
  </si>
  <si>
    <t>RK164_Cancer_XYHISAT2</t>
  </si>
  <si>
    <t>RK164_Liver_XYHISAT2</t>
  </si>
  <si>
    <t>RK165_cancer_XYHISAT2</t>
  </si>
  <si>
    <t>RK165_liver_XYHISAT2</t>
  </si>
  <si>
    <t>RK166_cancer_XYHISAT2</t>
  </si>
  <si>
    <t>RK166_liver_XYHISAT2</t>
  </si>
  <si>
    <t>RK167_cancer_XYHISAT2</t>
  </si>
  <si>
    <t>RK167_liver_XYHISAT2</t>
  </si>
  <si>
    <t>RK169_Cancer_XYHISAT2</t>
  </si>
  <si>
    <t>RK169_Liver_XYHISAT2</t>
  </si>
  <si>
    <t>RK170_cancer_XYHISAT2</t>
  </si>
  <si>
    <t>RK170_liver_XYHISAT2</t>
  </si>
  <si>
    <t>RK171_cancer_XXHISAT2</t>
  </si>
  <si>
    <t>RK171_liver_XXHISAT2</t>
  </si>
  <si>
    <t>RK172_Cancer_XXHISAT2</t>
  </si>
  <si>
    <t>RK172_Liver_XXHISAT2</t>
  </si>
  <si>
    <t>RK175_cancer_XYHISAT2</t>
  </si>
  <si>
    <t>RK175_liver_XYHISAT2</t>
  </si>
  <si>
    <t>RK177_cancer_XYHISAT2</t>
  </si>
  <si>
    <t>RK177_liver_XYHISAT2</t>
  </si>
  <si>
    <t>RK178_cancer_XXHISAT2</t>
  </si>
  <si>
    <t>RK178_liver_XXHISAT2</t>
  </si>
  <si>
    <t>RK179_cancer_XYHISAT2</t>
  </si>
  <si>
    <t>RK179_liver_XYHISAT2</t>
  </si>
  <si>
    <t>RK180_cancer1_XYHISAT2</t>
  </si>
  <si>
    <t>RK180_cancer2_XYHISAT2</t>
  </si>
  <si>
    <t>RK181_cancer_XYHISAT2</t>
  </si>
  <si>
    <t>RK181_liver_XYHISAT2</t>
  </si>
  <si>
    <t>RK182_cancer_XYHISAT2</t>
  </si>
  <si>
    <t>RK182_liver_XYHISAT2</t>
  </si>
  <si>
    <t>RK184_cancer_XYHISAT2</t>
  </si>
  <si>
    <t>RK184_liver_XYHISAT2</t>
  </si>
  <si>
    <t>RK185_cancer_XYHISAT2</t>
  </si>
  <si>
    <t>RK185_liver_XYHISAT2</t>
  </si>
  <si>
    <t>RK186_cancer_XXHISAT2</t>
  </si>
  <si>
    <t>RK186_liver_XXHISAT2</t>
  </si>
  <si>
    <t>RK187_cancer_XYHISAT2</t>
  </si>
  <si>
    <t>RK187_liver_XYHISAT2</t>
  </si>
  <si>
    <t>RK188_cancer_XYHISAT2</t>
  </si>
  <si>
    <t>RK188_liver_XYHISAT2</t>
  </si>
  <si>
    <t>RK189_cancer_XYHISAT2</t>
  </si>
  <si>
    <t>RK190_cancer_XYHISAT2</t>
  </si>
  <si>
    <t>RK190_liver_XYHISAT2</t>
  </si>
  <si>
    <t>RK191_Cancer_XYHISAT2</t>
  </si>
  <si>
    <t>RK191_Liver_XXHISAT2</t>
  </si>
  <si>
    <t>RK192_cancer_XXHISAT2</t>
  </si>
  <si>
    <t>RK193_Cancer_XXHISAT2</t>
  </si>
  <si>
    <t>RK193_Liver_XXHISAT2</t>
  </si>
  <si>
    <t>RK194_cancer_XYHISAT2</t>
  </si>
  <si>
    <t>RK194_liver_XYHISAT2</t>
  </si>
  <si>
    <t>RK195_cancer_XYHISAT2</t>
  </si>
  <si>
    <t>RK195_liver_XYHISAT2</t>
  </si>
  <si>
    <t>RK196_Cancer_XYHISAT2</t>
  </si>
  <si>
    <t>RK196_Liver_XYHISAT2</t>
  </si>
  <si>
    <t>RK197_cancer_XXHISAT2</t>
  </si>
  <si>
    <t>RK197_liver_XXHISAT2</t>
  </si>
  <si>
    <t>RK198_cancer_XXHISAT2</t>
  </si>
  <si>
    <t>RK198_liver_XXHISAT2</t>
  </si>
  <si>
    <t>RK199_cancer_XXHISAT2</t>
  </si>
  <si>
    <t>RK199_liver_XXHISAT2</t>
  </si>
  <si>
    <t>RK200_cancer_XYHISAT2</t>
  </si>
  <si>
    <t>RK200_liver_XYHISAT2</t>
  </si>
  <si>
    <t>RK201_Cancer_XYHISAT2</t>
  </si>
  <si>
    <t>RK201_Liver_XYHISAT2</t>
  </si>
  <si>
    <t>RK202_cancer_XXHISAT2</t>
  </si>
  <si>
    <t>RK202_liver_XXHISAT2</t>
  </si>
  <si>
    <t>RK204_cancer_XYHISAT2</t>
  </si>
  <si>
    <t>RK204_liver_XYHISAT2</t>
  </si>
  <si>
    <t>RK205_cancer_XYHISAT2</t>
  </si>
  <si>
    <t>RK205_liver_XYHISAT2</t>
  </si>
  <si>
    <t>RK207_cancer_XYHISAT2</t>
  </si>
  <si>
    <t>RK207_liver_XYHISAT2</t>
  </si>
  <si>
    <t>RK208_cancer_XYHISAT2</t>
  </si>
  <si>
    <t>RK208_liver_XYHISAT2</t>
  </si>
  <si>
    <t>RK209_cancer_XYHISAT2</t>
  </si>
  <si>
    <t>RK210_cancer_XYHISAT2</t>
  </si>
  <si>
    <t>RK211_cancer_XXHISAT2</t>
  </si>
  <si>
    <t>RK211_liver_XXHISAT2</t>
  </si>
  <si>
    <t>RK212_Cancer_XYHISAT2</t>
  </si>
  <si>
    <t>RK212_Liver_XYHISAT2</t>
  </si>
  <si>
    <t>RK213_cancer_XYHISAT2</t>
  </si>
  <si>
    <t>RK213_liver_XYHISAT2</t>
  </si>
  <si>
    <t>RK214_Cancer_XYHISAT2</t>
  </si>
  <si>
    <t>RK214_Liver_XYHISAT2</t>
  </si>
  <si>
    <t>RK216_cancer_XXHISAT2</t>
  </si>
  <si>
    <t>RK216_liver_XXHISAT2</t>
  </si>
  <si>
    <t>RK217_cancer_XYHISAT2</t>
  </si>
  <si>
    <t>RK217_liver_XYHISAT2</t>
  </si>
  <si>
    <t>RK219_cancer_XXHISAT2</t>
  </si>
  <si>
    <t>RK220_cancer_XYHISAT2</t>
  </si>
  <si>
    <t>RK220_liver_XYHISAT2</t>
  </si>
  <si>
    <t>RK222_cancer_XXHISAT2</t>
  </si>
  <si>
    <t>RK222_liver_XXHISAT2</t>
  </si>
  <si>
    <t>RK223_cancer_XYHISAT2</t>
  </si>
  <si>
    <t>RK224_Cancer_XYHISAT2</t>
  </si>
  <si>
    <t>RK224_Liver_XYHISAT2</t>
  </si>
  <si>
    <t>RK226_cancer_XYHISAT2</t>
  </si>
  <si>
    <t>RK226_liver_XYHISAT2</t>
  </si>
  <si>
    <t>RK227_cancer_XYHISAT2</t>
  </si>
  <si>
    <t>RK227_liver_XYHISAT2</t>
  </si>
  <si>
    <t>RK228_cancer_XYHISAT2</t>
  </si>
  <si>
    <t>RK228_liver_XYHISAT2</t>
  </si>
  <si>
    <t>RK229_cancer_XYHISAT2</t>
  </si>
  <si>
    <t>RK229_liver_XYHISAT2</t>
  </si>
  <si>
    <t>RK230_cancer_XXHISAT2</t>
  </si>
  <si>
    <t>RK230_liver_XXHISAT2</t>
  </si>
  <si>
    <t>RK232_cancer_XXHISAT2</t>
  </si>
  <si>
    <t>RK232_liver_XXHISAT2</t>
  </si>
  <si>
    <t>RK233_cancer1_XYHISAT2</t>
  </si>
  <si>
    <t>RK233_cancer2_XYHISAT2</t>
  </si>
  <si>
    <t>RK233_Liver_XYHISAT2</t>
  </si>
  <si>
    <t>RK235_cancer_XYHISAT2</t>
  </si>
  <si>
    <t>RK235_liver_XYHISAT2</t>
  </si>
  <si>
    <t>RK236_cancer_XXHISAT2</t>
  </si>
  <si>
    <t>RK236_liver_XXHISAT2</t>
  </si>
  <si>
    <t>RK237_cancer_XYHISAT2</t>
  </si>
  <si>
    <t>RK237_liver_XYHISAT2</t>
  </si>
  <si>
    <t>RK240_cancer_XYHISAT2</t>
  </si>
  <si>
    <t>RK240_liver_XYHISAT2</t>
  </si>
  <si>
    <t>RK241_cancer_XYHISAT2</t>
  </si>
  <si>
    <t>RK241_liver_XYHISAT2</t>
  </si>
  <si>
    <t>RK243_cancer_XXHISAT2</t>
  </si>
  <si>
    <t>RK243_liver_XXHISAT2</t>
  </si>
  <si>
    <t>RK244_cancer_XYHISAT2</t>
  </si>
  <si>
    <t>RK244_liver_XYHISAT2</t>
  </si>
  <si>
    <t>RK245_cancer_XYHISAT2</t>
  </si>
  <si>
    <t>RK245_liver_XYHISAT2</t>
  </si>
  <si>
    <t>RK254_cancer_XYHISAT2</t>
  </si>
  <si>
    <t>RK254_liver_XYHISAT2</t>
  </si>
  <si>
    <t>RK256_cancer_XYHISAT2</t>
  </si>
  <si>
    <t>RK256_liver_XYHISAT2</t>
  </si>
  <si>
    <t>RK257_cancer_XYHISAT2</t>
  </si>
  <si>
    <t>RK257_liver_XYHISAT2</t>
  </si>
  <si>
    <t>RK258_cancer_XYHISAT2</t>
  </si>
  <si>
    <t>RK258_liver_XYHISAT2</t>
  </si>
  <si>
    <t>RK259_cancer_XYHISAT2</t>
  </si>
  <si>
    <t>RK260_cancer_XYHISAT2</t>
  </si>
  <si>
    <t>RK260_liver_XYHISAT2</t>
  </si>
  <si>
    <t>RK261_cancer1_XYHISAT2</t>
  </si>
  <si>
    <t>RK261_cancer2_XYHISAT2</t>
  </si>
  <si>
    <t>RK261_cancer3_XYHISAT2</t>
  </si>
  <si>
    <t>RK262_cancer_XYHISAT2</t>
  </si>
  <si>
    <t>RK263_cancer_XYHISAT2</t>
  </si>
  <si>
    <t>RK263_liver_XYHISAT2</t>
  </si>
  <si>
    <t>RK264_cancer_XYHISAT2</t>
  </si>
  <si>
    <t>RK265_cancer_XYHISAT2</t>
  </si>
  <si>
    <t>RK265_liver_XYHISAT2</t>
  </si>
  <si>
    <t>RK266_cancer_XXHISAT2</t>
  </si>
  <si>
    <t>RK268_cancer_XYHISAT2</t>
  </si>
  <si>
    <t>RK268_liver_XYHISAT2</t>
  </si>
  <si>
    <t>RK269_cancer_XYHISAT2</t>
  </si>
  <si>
    <t>RK269_liver_XYHISAT2</t>
  </si>
  <si>
    <t>RK270_cancer_XYHISAT2</t>
  </si>
  <si>
    <t>RK270_liver_XYHISAT2</t>
  </si>
  <si>
    <t>RK272_cancer_XXHISAT2</t>
  </si>
  <si>
    <t>RK272_liver_XXHISAT2</t>
  </si>
  <si>
    <t>RK277_cancer_XYHISAT2</t>
  </si>
  <si>
    <t>RK280_cancer_XYHISAT2</t>
  </si>
  <si>
    <t>RK280_liver_XYHISAT2</t>
  </si>
  <si>
    <t>RK284_cancer_XXHISAT2</t>
  </si>
  <si>
    <t>RK285_cancer_XYHISAT2</t>
  </si>
  <si>
    <t>RK285_liver_XYHISAT2</t>
  </si>
  <si>
    <t>RK289_cancer_XYHISAT2</t>
  </si>
  <si>
    <t>RK297_cancer_XYHISAT2</t>
  </si>
  <si>
    <t>RK305_cancer_XYHISAT2</t>
  </si>
  <si>
    <t>RK305_liver_XYHISAT2</t>
  </si>
  <si>
    <t>RK307_cancer_XXHISAT2</t>
  </si>
  <si>
    <t>RK307_liver_XXHISAT2</t>
  </si>
  <si>
    <t>RK308_cancer_XXHISAT2</t>
  </si>
  <si>
    <t>RK308_liver_XXHISAT2</t>
  </si>
  <si>
    <t>RK309_cancer_XYHISAT2</t>
  </si>
  <si>
    <t>RK310_cancer_XXHISAT2</t>
  </si>
  <si>
    <t>RK310_liver_XXHISAT2</t>
  </si>
  <si>
    <t>RK312_cancer_XYHISAT2</t>
  </si>
  <si>
    <t>RK312_liver_XYHISAT2</t>
  </si>
  <si>
    <t>RK316_cancer_XXHISAT2</t>
  </si>
  <si>
    <t>RK316_liver_XXHISAT2</t>
  </si>
  <si>
    <t>RK326_cancer_XYHISAT2</t>
  </si>
  <si>
    <t>RK326_liver_XYHISAT2</t>
  </si>
  <si>
    <t>RK337_cancer_XYHISAT2</t>
  </si>
  <si>
    <t>RK337_liver_XYHISAT2</t>
  </si>
  <si>
    <t>RK338_cancer1_XYHISAT2</t>
  </si>
  <si>
    <t>RK338_cancer2_XYHISAT2</t>
  </si>
  <si>
    <t>RK338_liver_XYHISAT2</t>
  </si>
  <si>
    <t>Ratio forward/reverse &gt;1.5</t>
  </si>
  <si>
    <t>N of samples with "Fraction of reads failed to determine" less than 0.25</t>
  </si>
  <si>
    <t>N of samples with "Fraction of reads failed to determine" less than 0.7</t>
  </si>
  <si>
    <t>Among samples with "Fraction of reads failed to determine" less than 0.7…</t>
  </si>
  <si>
    <t>Fraction of reads failed to determine less than 0.7</t>
  </si>
  <si>
    <t>Ratio forward/reverse &lt;0.5</t>
  </si>
  <si>
    <t>Ratio forward/reverse &gt; 1.5</t>
  </si>
  <si>
    <t>Ratio forward/reverse 0.5 to 1.5</t>
  </si>
  <si>
    <t>sampleid</t>
  </si>
  <si>
    <t>unstranded</t>
  </si>
  <si>
    <t>stranded</t>
  </si>
  <si>
    <t>Ratio forwardreverse between 0.5 to 1.5</t>
  </si>
  <si>
    <t> Ratio above 1.5 or below 0.5</t>
  </si>
  <si>
    <t>Ratio forwardreverse</t>
  </si>
  <si>
    <t>Fraction of reads explained by forward</t>
  </si>
  <si>
    <t>Fraction of reads explained by reverse</t>
  </si>
  <si>
    <t>id</t>
  </si>
  <si>
    <t>salmon</t>
  </si>
  <si>
    <t>RK001-cancer-XY</t>
  </si>
  <si>
    <t>IU</t>
  </si>
  <si>
    <t>RK001-liver-XY</t>
  </si>
  <si>
    <t>RK002-cancer-XY</t>
  </si>
  <si>
    <t>RK002-liver-XY</t>
  </si>
  <si>
    <t>RK003-cancer-XY</t>
  </si>
  <si>
    <t>RK003-liver-XY</t>
  </si>
  <si>
    <t>RK004-cancer-XY</t>
  </si>
  <si>
    <t>RK004-liver-XY</t>
  </si>
  <si>
    <t>RK005-cancer-XY</t>
  </si>
  <si>
    <t>ISR</t>
  </si>
  <si>
    <t>RK005-liver-XY</t>
  </si>
  <si>
    <t>RK006_1-cancer-XY</t>
  </si>
  <si>
    <t>RK006_1-liver-XY</t>
  </si>
  <si>
    <t>RK006_2-cancer-XY</t>
  </si>
  <si>
    <t>RK007-cancer-XY</t>
  </si>
  <si>
    <t>RK007-liver-XY</t>
  </si>
  <si>
    <t>RK010-cancer-XY</t>
  </si>
  <si>
    <t>RK010-liver-XY</t>
  </si>
  <si>
    <t>RK012-cancer-XY</t>
  </si>
  <si>
    <t>RK012-liver-XY</t>
  </si>
  <si>
    <t>RK014-cancer-XY</t>
  </si>
  <si>
    <t>RK014-liver-XY</t>
  </si>
  <si>
    <t>RK015-cancer-XY</t>
  </si>
  <si>
    <t>RK016-cancer-XX</t>
  </si>
  <si>
    <t>RK016-liver-XX</t>
  </si>
  <si>
    <t>RK018-cancer-XY</t>
  </si>
  <si>
    <t>RK018-liver-XY</t>
  </si>
  <si>
    <t>RK019-cancer-XY</t>
  </si>
  <si>
    <t>RK019-liver-XY</t>
  </si>
  <si>
    <t>RK020-cancer-XY</t>
  </si>
  <si>
    <t>RK020-liver-XY</t>
  </si>
  <si>
    <t>RK021-cancer-XY</t>
  </si>
  <si>
    <t>RK021-liver-XY</t>
  </si>
  <si>
    <t>RK022-cancer-XX</t>
  </si>
  <si>
    <t>RK022-liver-XX</t>
  </si>
  <si>
    <t>RK023-cancer-XY</t>
  </si>
  <si>
    <t>RK023-liver-XY</t>
  </si>
  <si>
    <t>RK024-cancer-XY</t>
  </si>
  <si>
    <t>RK024-liver-XY</t>
  </si>
  <si>
    <t>RK025-cancer-XX</t>
  </si>
  <si>
    <t>RK025-liver-XX</t>
  </si>
  <si>
    <t>RK026-cancer-XY</t>
  </si>
  <si>
    <t>RK026-liver-XY</t>
  </si>
  <si>
    <t>RK027-cancer-XY</t>
  </si>
  <si>
    <t>RK027-liver-XY</t>
  </si>
  <si>
    <t>RK028-cancer-XX</t>
  </si>
  <si>
    <t>RK028-liver-XX</t>
  </si>
  <si>
    <t>RK029-cancer-XY</t>
  </si>
  <si>
    <t>RK029-liver-XY</t>
  </si>
  <si>
    <t>RK030-cancer-XY</t>
  </si>
  <si>
    <t>RK030-liver-XY</t>
  </si>
  <si>
    <t>RK031-cancer-XY</t>
  </si>
  <si>
    <t>RK031-liver-XY</t>
  </si>
  <si>
    <t>RK032-cancer-XY</t>
  </si>
  <si>
    <t>RK032-liver-XY</t>
  </si>
  <si>
    <t>RK033-cancer-XY</t>
  </si>
  <si>
    <t>RK033-liver-XY</t>
  </si>
  <si>
    <t>RK034-cancer-XY</t>
  </si>
  <si>
    <t>RK034-liver-XY</t>
  </si>
  <si>
    <t>RK035-cancer-XY</t>
  </si>
  <si>
    <t>RK035-liver-XY</t>
  </si>
  <si>
    <t>RK036-cancer-XY</t>
  </si>
  <si>
    <t>RK036-liver-XY</t>
  </si>
  <si>
    <t>RK037-cancer-XY</t>
  </si>
  <si>
    <t>RK037-liver-XY</t>
  </si>
  <si>
    <t>RK038-cancer-XX</t>
  </si>
  <si>
    <t>RK038-liver-XX</t>
  </si>
  <si>
    <t>RK040-cancer-XX</t>
  </si>
  <si>
    <t>RK040-liver-XX</t>
  </si>
  <si>
    <t>RK041-cancer-XY</t>
  </si>
  <si>
    <t>RK041-liver-XY</t>
  </si>
  <si>
    <t>RK043-cancer-XY</t>
  </si>
  <si>
    <t>RK043-liver-XY</t>
  </si>
  <si>
    <t>RK044-cancer-XX</t>
  </si>
  <si>
    <t>RK044-liver-XX</t>
  </si>
  <si>
    <t>RK047-cancer-XX</t>
  </si>
  <si>
    <t>RK047-liver-XX</t>
  </si>
  <si>
    <t>RK048-cancer-XY</t>
  </si>
  <si>
    <t>RK048-liver-XY</t>
  </si>
  <si>
    <t>RK049-cancer-XY</t>
  </si>
  <si>
    <t>RK050-cancer-XY</t>
  </si>
  <si>
    <t>RK050-liver-XY</t>
  </si>
  <si>
    <t>RK051-cancer-XY</t>
  </si>
  <si>
    <t>RK051-liver-XY</t>
  </si>
  <si>
    <t>RK052-cancer-XY</t>
  </si>
  <si>
    <t>RK052-liver-XY</t>
  </si>
  <si>
    <t>RK053-cancer-XY</t>
  </si>
  <si>
    <t>RK053-liver-XY</t>
  </si>
  <si>
    <t>RK054-cancer-XY</t>
  </si>
  <si>
    <t>RK054-liver-XY</t>
  </si>
  <si>
    <t>RK055-cancer-XY</t>
  </si>
  <si>
    <t>RK055-liver-XY</t>
  </si>
  <si>
    <t>RK056-cancer-XY</t>
  </si>
  <si>
    <t>RK056-liver-XY</t>
  </si>
  <si>
    <t>RK057-cancer-XY</t>
  </si>
  <si>
    <t>RK057-liver-XY</t>
  </si>
  <si>
    <t>RK058-cancer-XY</t>
  </si>
  <si>
    <t>RK058-liver-XY</t>
  </si>
  <si>
    <t>RK059-cancer-XY</t>
  </si>
  <si>
    <t>RK059-liver-XY</t>
  </si>
  <si>
    <t>RK060-cancer-XY</t>
  </si>
  <si>
    <t>RK060-liver-XY</t>
  </si>
  <si>
    <t>RK061-cancer-XY</t>
  </si>
  <si>
    <t>RK061-liver-XY</t>
  </si>
  <si>
    <t>RK062-cancer-XY</t>
  </si>
  <si>
    <t>RK062-liver-XY</t>
  </si>
  <si>
    <t>RK063-cancer-XX</t>
  </si>
  <si>
    <t>RK063-liver-XX</t>
  </si>
  <si>
    <t>RK064-cancer-XX</t>
  </si>
  <si>
    <t>RK064-liver-XX</t>
  </si>
  <si>
    <t>RK065-cancer-XX</t>
  </si>
  <si>
    <t>RK065-liver-XX</t>
  </si>
  <si>
    <t>RK066-cancer-XX</t>
  </si>
  <si>
    <t>RK066-liver-XX</t>
  </si>
  <si>
    <t>RK067-cancer-XY</t>
  </si>
  <si>
    <t>RK068-cancer-XX</t>
  </si>
  <si>
    <t>RK068-liver-XX</t>
  </si>
  <si>
    <t>RK069-cancer-XX</t>
  </si>
  <si>
    <t>RK069-liver-XX</t>
  </si>
  <si>
    <t>RK070-cancer-XY</t>
  </si>
  <si>
    <t>RK070-liver-XY</t>
  </si>
  <si>
    <t>RK071-cancer-XX</t>
  </si>
  <si>
    <t>RK071-liver-XX</t>
  </si>
  <si>
    <t>RK072-cancer-XX</t>
  </si>
  <si>
    <t>RK072-liver-XX</t>
  </si>
  <si>
    <t>RK073-cancer-XY</t>
  </si>
  <si>
    <t>RK073-liver-XY</t>
  </si>
  <si>
    <t>RK074-cancer-XY</t>
  </si>
  <si>
    <t>RK074-liver-XY</t>
  </si>
  <si>
    <t>RK075-cancer-XY</t>
  </si>
  <si>
    <t>RK075-liver-XY</t>
  </si>
  <si>
    <t>RK076-cancer-XY</t>
  </si>
  <si>
    <t>RK076-liver-XY</t>
  </si>
  <si>
    <t>RK077-cancer-XY</t>
  </si>
  <si>
    <t>RK077-liver-XY</t>
  </si>
  <si>
    <t>RK079-cancer-XY</t>
  </si>
  <si>
    <t>RK079-liver-XY</t>
  </si>
  <si>
    <t>RK080-cancer-XX</t>
  </si>
  <si>
    <t>RK080-liver-XX</t>
  </si>
  <si>
    <t>RK081-cancer-XY</t>
  </si>
  <si>
    <t>RK081-liver-XY</t>
  </si>
  <si>
    <t>RK082-cancer-XY</t>
  </si>
  <si>
    <t>RK083-cancer-XX</t>
  </si>
  <si>
    <t>RK083-liver-XX</t>
  </si>
  <si>
    <t>RK084-cancer-XX</t>
  </si>
  <si>
    <t>RK085-cancer-XY</t>
  </si>
  <si>
    <t>RK085-liver-XY</t>
  </si>
  <si>
    <t>RK086-cancer-XY</t>
  </si>
  <si>
    <t>RK088-cancer-XY</t>
  </si>
  <si>
    <t>RK089-cancer-XY</t>
  </si>
  <si>
    <t>RK089-liver-XY</t>
  </si>
  <si>
    <t>RK091-cancer-XY</t>
  </si>
  <si>
    <t>RK091-liver-XY</t>
  </si>
  <si>
    <t>RK092-cancer-XY</t>
  </si>
  <si>
    <t>RK092-liver-XY</t>
  </si>
  <si>
    <t>RK093-cancer-XY</t>
  </si>
  <si>
    <t>RK093-liver-XY</t>
  </si>
  <si>
    <t>RK095-cancer-XX</t>
  </si>
  <si>
    <t>RK095-liver-XX</t>
  </si>
  <si>
    <t>RK096-cancer-XY</t>
  </si>
  <si>
    <t>RK098-cancer-XX</t>
  </si>
  <si>
    <t>RK098-liver-XX</t>
  </si>
  <si>
    <t>RK099-cancer-XY</t>
  </si>
  <si>
    <t>RK099-liver-XY</t>
  </si>
  <si>
    <t>RK100-cancer-XX</t>
  </si>
  <si>
    <t>RK100-liver-XX</t>
  </si>
  <si>
    <t>RK101-cancer-XY</t>
  </si>
  <si>
    <t>RK101-liver-XY</t>
  </si>
  <si>
    <t>RK102-cancer-XY</t>
  </si>
  <si>
    <t>RK102-liver-XY</t>
  </si>
  <si>
    <t>RK103-cancer-XY</t>
  </si>
  <si>
    <t>RK103-liver-XY</t>
  </si>
  <si>
    <t>RK104-cancer-XY</t>
  </si>
  <si>
    <t>RK104-liver-XY</t>
  </si>
  <si>
    <t>RK105-cancer-XY</t>
  </si>
  <si>
    <t>RK105-liver-XY</t>
  </si>
  <si>
    <t>RK106-cancer-XX</t>
  </si>
  <si>
    <t>RK106-liver-XX</t>
  </si>
  <si>
    <t>RK107-cancer-XX</t>
  </si>
  <si>
    <t>RK107-liver-XX</t>
  </si>
  <si>
    <t>RK108-cancer-XY</t>
  </si>
  <si>
    <t>RK109-cancer-XY</t>
  </si>
  <si>
    <t>RK109-liver-XY</t>
  </si>
  <si>
    <t>RK110-cancer-XY</t>
  </si>
  <si>
    <t>RK110-liver-XY</t>
  </si>
  <si>
    <t>RK111-cancer-XY</t>
  </si>
  <si>
    <t>RK111-liver-XY</t>
  </si>
  <si>
    <t>RK112-cancer-XY</t>
  </si>
  <si>
    <t>RK113-cancer-XY</t>
  </si>
  <si>
    <t>RK113-liver-XY</t>
  </si>
  <si>
    <t>RK115-cancer-XX</t>
  </si>
  <si>
    <t>RK115-liver-XX</t>
  </si>
  <si>
    <t>RK116-cancer-XX</t>
  </si>
  <si>
    <t>RK116-liver-XX</t>
  </si>
  <si>
    <t>RK117-cancer-XX</t>
  </si>
  <si>
    <t>RK117-liver-XX</t>
  </si>
  <si>
    <t>RK118-cancer-XY</t>
  </si>
  <si>
    <t>RK118-liver-XY</t>
  </si>
  <si>
    <t>RK119-cancer-XX</t>
  </si>
  <si>
    <t>RK119-liver-XX</t>
  </si>
  <si>
    <t>RK120-cancer-XY</t>
  </si>
  <si>
    <t>RK120-liver-XY</t>
  </si>
  <si>
    <t>RK124-cancer-XY</t>
  </si>
  <si>
    <t>RK124-liver-XY</t>
  </si>
  <si>
    <t>RK125-cancer-XY</t>
  </si>
  <si>
    <t>RK125-liver-XY</t>
  </si>
  <si>
    <t>RK126-cancer-XY</t>
  </si>
  <si>
    <t>RK126-liver-XY</t>
  </si>
  <si>
    <t>RK128-cancer-XY</t>
  </si>
  <si>
    <t>RK128-liver-XY</t>
  </si>
  <si>
    <t>RK130-cancer-XY</t>
  </si>
  <si>
    <t>RK130-liver-XY</t>
  </si>
  <si>
    <t>RK131-cancer-XY</t>
  </si>
  <si>
    <t>RK131-liver-XY</t>
  </si>
  <si>
    <t>RK133-cancer-XY</t>
  </si>
  <si>
    <t>RK134-cancer-XY</t>
  </si>
  <si>
    <t>RK135-cancer-XX</t>
  </si>
  <si>
    <t>RK137-cancer-XX</t>
  </si>
  <si>
    <t>RK137-liver-XX</t>
  </si>
  <si>
    <t>RK138-cancer-XX</t>
  </si>
  <si>
    <t>RK138-liver-XX</t>
  </si>
  <si>
    <t>RK140-cancer-XY</t>
  </si>
  <si>
    <t>RK140-liver-XY</t>
  </si>
  <si>
    <t>RK141-cancer-XX</t>
  </si>
  <si>
    <t>RK141-liver-XX</t>
  </si>
  <si>
    <t>RK142-cancer-XY</t>
  </si>
  <si>
    <t>RK142-liver-XY</t>
  </si>
  <si>
    <t>RK143-cancer-XY</t>
  </si>
  <si>
    <t>RK143-liver-XY</t>
  </si>
  <si>
    <t>RK145-cancer-XY</t>
  </si>
  <si>
    <t>RK145-liver-XY</t>
  </si>
  <si>
    <t>RK146-cancer-XX</t>
  </si>
  <si>
    <t>RK146-liver-XX</t>
  </si>
  <si>
    <t>RK147-cancer-XY</t>
  </si>
  <si>
    <t>RK147-liver-XY</t>
  </si>
  <si>
    <t>RK148-cancer-XY</t>
  </si>
  <si>
    <t>RK149-cancer-XY</t>
  </si>
  <si>
    <t>RK150-cancer-XY</t>
  </si>
  <si>
    <t>RK151-cancer-XY</t>
  </si>
  <si>
    <t>RK151-liver-XY</t>
  </si>
  <si>
    <t>RK152-cancer-XY</t>
  </si>
  <si>
    <t>RK153-cancer-XY</t>
  </si>
  <si>
    <t>RK155-cancer-XX</t>
  </si>
  <si>
    <t>RK155-liver-XX</t>
  </si>
  <si>
    <t>RK156-cancer-XY</t>
  </si>
  <si>
    <t>RK157-cancer-XY</t>
  </si>
  <si>
    <t>RK157-liver-XY</t>
  </si>
  <si>
    <t>RK159-cancer-XY</t>
  </si>
  <si>
    <t>RK159-liver-XY</t>
  </si>
  <si>
    <t>RK162-cancer-XY</t>
  </si>
  <si>
    <t>RK162-liver-XY</t>
  </si>
  <si>
    <t>RK163-cancer-XX</t>
  </si>
  <si>
    <t>RK163-liver-XX</t>
  </si>
  <si>
    <t>RK164-cancer-XY</t>
  </si>
  <si>
    <t>RK164-liver-XY</t>
  </si>
  <si>
    <t>RK165-cancer-XY</t>
  </si>
  <si>
    <t>RK165-liver-XY</t>
  </si>
  <si>
    <t>RK166-cancer-XY</t>
  </si>
  <si>
    <t>RK166-liver-XY</t>
  </si>
  <si>
    <t>RK167-cancer-XY</t>
  </si>
  <si>
    <t>RK167-liver-XY</t>
  </si>
  <si>
    <t>RK169-cancer-XY</t>
  </si>
  <si>
    <t>RK169-liver-XY</t>
  </si>
  <si>
    <t>RK170-cancer-XY</t>
  </si>
  <si>
    <t>RK170-liver-XY</t>
  </si>
  <si>
    <t>RK171-cancer-XX</t>
  </si>
  <si>
    <t>RK171-liver-XX</t>
  </si>
  <si>
    <t>RK172-cancer-XX</t>
  </si>
  <si>
    <t>RK172-liver-XX</t>
  </si>
  <si>
    <t>RK175-cancer-XY</t>
  </si>
  <si>
    <t>RK175-liver-XY</t>
  </si>
  <si>
    <t>RK177-cancer-XY</t>
  </si>
  <si>
    <t>RK177-liver-XY</t>
  </si>
  <si>
    <t>RK178-cancer-XX</t>
  </si>
  <si>
    <t>RK178-liver-XX</t>
  </si>
  <si>
    <t>RK179-cancer-XY</t>
  </si>
  <si>
    <t>RK179-liver-XY</t>
  </si>
  <si>
    <t>RK180_1-cancer-XY</t>
  </si>
  <si>
    <t>RK180_2-cancer-XY</t>
  </si>
  <si>
    <t>RK181-cancer-XY</t>
  </si>
  <si>
    <t>RK181-liver-XY</t>
  </si>
  <si>
    <t>RK182-cancer-XY</t>
  </si>
  <si>
    <t>RK182-liver-XY</t>
  </si>
  <si>
    <t>RK184-cancer-XY</t>
  </si>
  <si>
    <t>RK184-liver-XY</t>
  </si>
  <si>
    <t>RK185-cancer-XY</t>
  </si>
  <si>
    <t>RK185-liver-XY</t>
  </si>
  <si>
    <t>RK186-cancer-XX</t>
  </si>
  <si>
    <t>RK186-liver-XX</t>
  </si>
  <si>
    <t>RK187-cancer-XY</t>
  </si>
  <si>
    <t>RK187-liver-XY</t>
  </si>
  <si>
    <t>RK188-cancer-XY</t>
  </si>
  <si>
    <t>RK188-liver-XY</t>
  </si>
  <si>
    <t>RK189-cancer-XY</t>
  </si>
  <si>
    <t>RK190-cancer-XY</t>
  </si>
  <si>
    <t>RK190-liver-XY</t>
  </si>
  <si>
    <t>RK191-cancer-XX</t>
  </si>
  <si>
    <t>RK191-liver-XX</t>
  </si>
  <si>
    <t>RK192-cancer-XY</t>
  </si>
  <si>
    <t>RK193-cancer-XX</t>
  </si>
  <si>
    <t>RK193-liver-XX</t>
  </si>
  <si>
    <t>RK194-cancer-XY</t>
  </si>
  <si>
    <t>RK194-liver-XY</t>
  </si>
  <si>
    <t>RK195-cancer-XY</t>
  </si>
  <si>
    <t>RK195-liver-XY</t>
  </si>
  <si>
    <t>RK196-cancer-XY</t>
  </si>
  <si>
    <t>RK196-liver-XY</t>
  </si>
  <si>
    <t>RK197-cancer-XX</t>
  </si>
  <si>
    <t>RK197-liver-XX</t>
  </si>
  <si>
    <t>RK198-cancer-XX</t>
  </si>
  <si>
    <t>RK198-liver-XX</t>
  </si>
  <si>
    <t>RK199-cancer-XX</t>
  </si>
  <si>
    <t>RK199-liver-XX</t>
  </si>
  <si>
    <t>RK200-cancer-XY</t>
  </si>
  <si>
    <t>RK200-liver-XY</t>
  </si>
  <si>
    <t>RK201-cancer-XY</t>
  </si>
  <si>
    <t>RK201-liver-XY</t>
  </si>
  <si>
    <t>RK202-cancer-XX</t>
  </si>
  <si>
    <t>RK202-liver-XX</t>
  </si>
  <si>
    <t>RK204-cancer-XY</t>
  </si>
  <si>
    <t>RK204-liver-XY</t>
  </si>
  <si>
    <t>RK205-cancer-XY</t>
  </si>
  <si>
    <t>RK205-liver-XY</t>
  </si>
  <si>
    <t>RK207-cancer-XY</t>
  </si>
  <si>
    <t>RK207-liver-XY</t>
  </si>
  <si>
    <t>RK208-cancer-XY</t>
  </si>
  <si>
    <t>RK208-liver-XY</t>
  </si>
  <si>
    <t>RK209-cancer-XY</t>
  </si>
  <si>
    <t>RK210-cancer-XY</t>
  </si>
  <si>
    <t>RK211-cancer-XX</t>
  </si>
  <si>
    <t>RK211-liver-XX</t>
  </si>
  <si>
    <t>RK212-cancer-XY</t>
  </si>
  <si>
    <t>RK212-liver-XY</t>
  </si>
  <si>
    <t>RK213-cancer-XY</t>
  </si>
  <si>
    <t>RK213-liver-XY</t>
  </si>
  <si>
    <t>RK214-cancer-XY</t>
  </si>
  <si>
    <t>RK214-liver-XY</t>
  </si>
  <si>
    <t>RK216-cancer-XX</t>
  </si>
  <si>
    <t>RK216-liver-XX</t>
  </si>
  <si>
    <t>RK217-cancer-XY</t>
  </si>
  <si>
    <t>RK217-liver-XY</t>
  </si>
  <si>
    <t>RK219-cancer-XX</t>
  </si>
  <si>
    <t>RK220-cancer-XY</t>
  </si>
  <si>
    <t>RK220-liver-XY</t>
  </si>
  <si>
    <t>RK222-cancer-XX</t>
  </si>
  <si>
    <t>RK222-liver-XX</t>
  </si>
  <si>
    <t>RK223-cancer-XY</t>
  </si>
  <si>
    <t>RK224-cancer-XY</t>
  </si>
  <si>
    <t>RK224-liver-XY</t>
  </si>
  <si>
    <t>RK226-cancer-XY</t>
  </si>
  <si>
    <t>RK226-liver-XY</t>
  </si>
  <si>
    <t>RK227-cancer-XY</t>
  </si>
  <si>
    <t>RK227-liver-XY</t>
  </si>
  <si>
    <t>RK228-cancer-XY</t>
  </si>
  <si>
    <t>RK228-liver-XY</t>
  </si>
  <si>
    <t>RK229-cancer-XY</t>
  </si>
  <si>
    <t>RK229-liver-XY</t>
  </si>
  <si>
    <t>RK230-cancer-XX</t>
  </si>
  <si>
    <t>RK230-liver-XX</t>
  </si>
  <si>
    <t>RK232-cancer-XX</t>
  </si>
  <si>
    <t>RK232-liver-XX</t>
  </si>
  <si>
    <t>RK233_1-cancer-XY</t>
  </si>
  <si>
    <t>RK233_1-liver-XY</t>
  </si>
  <si>
    <t>RK233_2-cancer-XY</t>
  </si>
  <si>
    <t>RK235-cancer-XY</t>
  </si>
  <si>
    <t>RK235-liver-XY</t>
  </si>
  <si>
    <t>RK236-cancer-XX</t>
  </si>
  <si>
    <t>RK236-liver-XX</t>
  </si>
  <si>
    <t>RK237-cancer-XY</t>
  </si>
  <si>
    <t>RK237-liver-XY</t>
  </si>
  <si>
    <t>RK240-cancer-XY</t>
  </si>
  <si>
    <t>RK240-liver-XY</t>
  </si>
  <si>
    <t>RK241-cancer-XY</t>
  </si>
  <si>
    <t>RK241-liver-XY</t>
  </si>
  <si>
    <t>RK243-cancer-XX</t>
  </si>
  <si>
    <t>RK243-liver-XX</t>
  </si>
  <si>
    <t>RK244-cancer-XY</t>
  </si>
  <si>
    <t>RK244-liver-XY</t>
  </si>
  <si>
    <t>RK245-cancer-XY</t>
  </si>
  <si>
    <t>RK245-liver-XY</t>
  </si>
  <si>
    <t>RK254-cancer-XY</t>
  </si>
  <si>
    <t>RK254-liver-XY</t>
  </si>
  <si>
    <t>RK256-cancer-XY</t>
  </si>
  <si>
    <t>RK256-liver-XY</t>
  </si>
  <si>
    <t>RK257-cancer-XY</t>
  </si>
  <si>
    <t>RK257-liver-XY</t>
  </si>
  <si>
    <t>RK258-cancer-XY</t>
  </si>
  <si>
    <t>RK258-liver-XY</t>
  </si>
  <si>
    <t>RK259-cancer-XY</t>
  </si>
  <si>
    <t>RK260-cancer-XY</t>
  </si>
  <si>
    <t>RK260-liver-XY</t>
  </si>
  <si>
    <t>RK261_1-cancer-XY</t>
  </si>
  <si>
    <t>RK261_2-cancer-XY</t>
  </si>
  <si>
    <t>RK261_3-cancer-XY</t>
  </si>
  <si>
    <t>RK262-cancer-XY</t>
  </si>
  <si>
    <t>RK263-cancer-XY</t>
  </si>
  <si>
    <t>RK263-liver-XY</t>
  </si>
  <si>
    <t>RK264-cancer-XY</t>
  </si>
  <si>
    <t>RK265-cancer-XY</t>
  </si>
  <si>
    <t>RK265-liver-XY</t>
  </si>
  <si>
    <t>RK266-cancer-XX</t>
  </si>
  <si>
    <t>RK268-cancer-XY</t>
  </si>
  <si>
    <t>RK268-liver-XY</t>
  </si>
  <si>
    <t>RK269-cancer-XY</t>
  </si>
  <si>
    <t>RK269-liver-XY</t>
  </si>
  <si>
    <t>RK270-cancer-XY</t>
  </si>
  <si>
    <t>RK270-liver-XY</t>
  </si>
  <si>
    <t>RK272-cancer-XX</t>
  </si>
  <si>
    <t>RK272-liver-XX</t>
  </si>
  <si>
    <t>RK277-cancer-XY</t>
  </si>
  <si>
    <t>RK280-cancer-XY</t>
  </si>
  <si>
    <t>RK280-liver-XY</t>
  </si>
  <si>
    <t>RK284-cancer-XX</t>
  </si>
  <si>
    <t>RK285-cancer-XY</t>
  </si>
  <si>
    <t>RK285-liver-XY</t>
  </si>
  <si>
    <t>RK289-cancer-XY</t>
  </si>
  <si>
    <t>RK297_1-cancer-XY</t>
  </si>
  <si>
    <t>RK305-cancer-XY</t>
  </si>
  <si>
    <t>RK305-liver-XY</t>
  </si>
  <si>
    <t>RK307-cancer-XX</t>
  </si>
  <si>
    <t>RK307-liver-XX</t>
  </si>
  <si>
    <t>RK308-cancer-XX</t>
  </si>
  <si>
    <t>RK308-liver-XX</t>
  </si>
  <si>
    <t>RK309-cancer-XY</t>
  </si>
  <si>
    <t>RK310-cancer-XX</t>
  </si>
  <si>
    <t>RK310-liver-XX</t>
  </si>
  <si>
    <t>RK312-cancer-XY</t>
  </si>
  <si>
    <t>RK312-liver-XY</t>
  </si>
  <si>
    <t>RK316-cancer-XX</t>
  </si>
  <si>
    <t>RK316-liver-XX</t>
  </si>
  <si>
    <t>RK326-cancer-XY</t>
  </si>
  <si>
    <t>RK326-liver-XY</t>
  </si>
  <si>
    <t>RK337-cancer-XY</t>
  </si>
  <si>
    <t>RK337-liver-XY</t>
  </si>
  <si>
    <t>RK338_1-cancer-XY</t>
  </si>
  <si>
    <t>RK338_1-liver-XY</t>
  </si>
  <si>
    <t>RK338_2-cancer-XY</t>
  </si>
  <si>
    <t>strandedness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</si>
</sst>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rgb="FF22222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7"/>
  <sheetViews>
    <sheetView tabSelected="1" topLeftCell="E1" workbookViewId="0">
      <selection activeCell="M27" sqref="M27"/>
    </sheetView>
  </sheetViews>
  <sheetFormatPr baseColWidth="10" defaultRowHeight="16" x14ac:dyDescent="0.2"/>
  <cols>
    <col min="1" max="1" width="17.33203125" customWidth="1"/>
    <col min="2" max="2" width="36.6640625" customWidth="1"/>
    <col min="3" max="3" width="15" customWidth="1"/>
    <col min="4" max="4" width="17.1640625" customWidth="1"/>
    <col min="5" max="5" width="27.5" customWidth="1"/>
    <col min="6" max="6" width="46.6640625" customWidth="1"/>
    <col min="7" max="7" width="21.1640625" customWidth="1"/>
    <col min="8" max="8" width="41.33203125" customWidth="1"/>
    <col min="9" max="9" width="15.1640625" customWidth="1"/>
    <col min="12" max="12" width="63.33203125" customWidth="1"/>
  </cols>
  <sheetData>
    <row r="1" spans="1:13" x14ac:dyDescent="0.2">
      <c r="A1" s="1" t="s">
        <v>448</v>
      </c>
      <c r="B1" s="1" t="s">
        <v>0</v>
      </c>
      <c r="C1" s="1" t="s">
        <v>454</v>
      </c>
      <c r="D1" s="1" t="s">
        <v>455</v>
      </c>
      <c r="E1" s="1" t="s">
        <v>453</v>
      </c>
      <c r="F1" s="1" t="s">
        <v>444</v>
      </c>
      <c r="G1" s="1" t="s">
        <v>452</v>
      </c>
      <c r="H1" s="1" t="s">
        <v>451</v>
      </c>
      <c r="I1" s="2" t="s">
        <v>896</v>
      </c>
      <c r="J1" t="s">
        <v>456</v>
      </c>
      <c r="K1" t="s">
        <v>457</v>
      </c>
      <c r="L1" s="1" t="s">
        <v>441</v>
      </c>
      <c r="M1" s="1">
        <f>COUNTIF(B2:B437, "&lt;0.25")</f>
        <v>35</v>
      </c>
    </row>
    <row r="2" spans="1:13" x14ac:dyDescent="0.2">
      <c r="A2" s="1" t="s">
        <v>1</v>
      </c>
      <c r="B2" s="1">
        <v>0.51160000000000005</v>
      </c>
      <c r="C2" s="1">
        <v>0.24759999999999999</v>
      </c>
      <c r="D2" s="1">
        <v>0.2407</v>
      </c>
      <c r="E2" s="1">
        <f>C2/D2</f>
        <v>1.0286663896967179</v>
      </c>
      <c r="F2" s="1" t="str">
        <f>IF(B2&lt;0.7,"True","False")</f>
        <v>True</v>
      </c>
      <c r="G2" s="1" t="b">
        <f>IF(OR(E2&gt;1.5,E2&lt;0.5),TRUE,FALSE)</f>
        <v>0</v>
      </c>
      <c r="H2" s="1" t="b">
        <f>IF(AND(E2&lt;1.5,E2&gt;0.5),TRUE,FALSE)</f>
        <v>1</v>
      </c>
      <c r="I2" t="s">
        <v>449</v>
      </c>
      <c r="J2" t="s">
        <v>458</v>
      </c>
      <c r="K2" t="s">
        <v>459</v>
      </c>
      <c r="L2" s="1" t="s">
        <v>2</v>
      </c>
      <c r="M2" s="1">
        <f>COUNTIF(B2:B437, "&lt;0.5")</f>
        <v>150</v>
      </c>
    </row>
    <row r="3" spans="1:13" x14ac:dyDescent="0.2">
      <c r="A3" s="1" t="s">
        <v>3</v>
      </c>
      <c r="B3" s="1">
        <v>0.4884</v>
      </c>
      <c r="C3" s="1">
        <v>0.25969999999999999</v>
      </c>
      <c r="D3" s="1">
        <v>0.25190000000000001</v>
      </c>
      <c r="E3" s="1">
        <f>C3/D3</f>
        <v>1.0309646685192535</v>
      </c>
      <c r="F3" s="1" t="str">
        <f>IF(B3&lt;0.7,"True","False")</f>
        <v>True</v>
      </c>
      <c r="G3" s="1" t="b">
        <f>IF(OR(E3&gt;1.5,E3&lt;0.5),TRUE,FALSE)</f>
        <v>0</v>
      </c>
      <c r="H3" s="1" t="b">
        <f>IF(AND(E3&lt;1.5,E3&gt;0.5),TRUE,FALSE)</f>
        <v>1</v>
      </c>
      <c r="I3" t="s">
        <v>449</v>
      </c>
      <c r="J3" t="s">
        <v>460</v>
      </c>
      <c r="K3" t="s">
        <v>459</v>
      </c>
      <c r="L3" s="1" t="s">
        <v>442</v>
      </c>
      <c r="M3" s="1">
        <f>COUNTIF(B2:B437, "&lt;0.7")</f>
        <v>244</v>
      </c>
    </row>
    <row r="4" spans="1:13" x14ac:dyDescent="0.2">
      <c r="A4" s="1" t="s">
        <v>5</v>
      </c>
      <c r="B4" s="1">
        <v>0.185</v>
      </c>
      <c r="C4" s="1">
        <v>0.40920000000000001</v>
      </c>
      <c r="D4" s="1">
        <v>0.40579999999999999</v>
      </c>
      <c r="E4" s="1">
        <f>C4/D4</f>
        <v>1.0083785115820603</v>
      </c>
      <c r="F4" s="1" t="str">
        <f>IF(B4&lt;0.7,"True","False")</f>
        <v>True</v>
      </c>
      <c r="G4" s="1" t="b">
        <f>IF(OR(E4&gt;1.5,E4&lt;0.5),TRUE,FALSE)</f>
        <v>0</v>
      </c>
      <c r="H4" s="1" t="b">
        <f>IF(AND(E4&lt;1.5,E4&gt;0.5),TRUE,FALSE)</f>
        <v>1</v>
      </c>
      <c r="I4" t="s">
        <v>449</v>
      </c>
      <c r="J4" t="s">
        <v>461</v>
      </c>
      <c r="K4" t="s">
        <v>459</v>
      </c>
      <c r="L4" s="1" t="s">
        <v>4</v>
      </c>
      <c r="M4" s="1">
        <f>COUNTIF(B2:B437, "&gt;0.5")</f>
        <v>286</v>
      </c>
    </row>
    <row r="5" spans="1:13" x14ac:dyDescent="0.2">
      <c r="A5" s="1" t="s">
        <v>7</v>
      </c>
      <c r="B5" s="1">
        <v>0.68989999999999996</v>
      </c>
      <c r="C5" s="1">
        <v>0.15590000000000001</v>
      </c>
      <c r="D5" s="1">
        <v>0.15409999999999999</v>
      </c>
      <c r="E5" s="1">
        <f>C5/D5</f>
        <v>1.0116807268007788</v>
      </c>
      <c r="F5" s="1" t="str">
        <f>IF(B5&lt;0.7,"True","False")</f>
        <v>True</v>
      </c>
      <c r="G5" s="1" t="b">
        <f>IF(OR(E5&gt;1.5,E5&lt;0.5),TRUE,FALSE)</f>
        <v>0</v>
      </c>
      <c r="H5" s="1" t="b">
        <f>IF(AND(E5&lt;1.5,E5&gt;0.5),TRUE,FALSE)</f>
        <v>1</v>
      </c>
      <c r="I5" t="s">
        <v>449</v>
      </c>
      <c r="J5" t="s">
        <v>462</v>
      </c>
      <c r="K5" t="s">
        <v>459</v>
      </c>
      <c r="L5" s="1" t="s">
        <v>6</v>
      </c>
      <c r="M5" s="1">
        <f>COUNTIF(B2:B437, "&gt;0.8")</f>
        <v>155</v>
      </c>
    </row>
    <row r="6" spans="1:13" x14ac:dyDescent="0.2">
      <c r="A6" s="1" t="s">
        <v>8</v>
      </c>
      <c r="B6" s="1">
        <v>0.56210000000000004</v>
      </c>
      <c r="C6" s="1">
        <v>0.21629999999999999</v>
      </c>
      <c r="D6" s="1">
        <v>0.22159999999999999</v>
      </c>
      <c r="E6" s="1">
        <f>C6/D6</f>
        <v>0.97608303249097472</v>
      </c>
      <c r="F6" s="1" t="str">
        <f>IF(B6&lt;0.7,"True","False")</f>
        <v>True</v>
      </c>
      <c r="G6" s="1" t="b">
        <f>IF(OR(E6&gt;1.5,E6&lt;0.5),TRUE,FALSE)</f>
        <v>0</v>
      </c>
      <c r="H6" s="1" t="b">
        <f>IF(AND(E6&lt;1.5,E6&gt;0.5),TRUE,FALSE)</f>
        <v>1</v>
      </c>
      <c r="I6" t="s">
        <v>449</v>
      </c>
      <c r="J6" t="s">
        <v>463</v>
      </c>
      <c r="K6" t="s">
        <v>459</v>
      </c>
      <c r="L6" s="1"/>
      <c r="M6" s="1"/>
    </row>
    <row r="7" spans="1:13" x14ac:dyDescent="0.2">
      <c r="A7" s="1" t="s">
        <v>9</v>
      </c>
      <c r="B7" s="1">
        <v>0.49680000000000002</v>
      </c>
      <c r="C7" s="1">
        <v>0.25190000000000001</v>
      </c>
      <c r="D7" s="1">
        <v>0.25130000000000002</v>
      </c>
      <c r="E7" s="1">
        <f>C7/D7</f>
        <v>1.0023875845602865</v>
      </c>
      <c r="F7" s="1" t="str">
        <f>IF(B7&lt;0.7,"True","False")</f>
        <v>True</v>
      </c>
      <c r="G7" s="1" t="b">
        <f>IF(OR(E7&gt;1.5,E7&lt;0.5),TRUE,FALSE)</f>
        <v>0</v>
      </c>
      <c r="H7" s="1" t="b">
        <f>IF(AND(E7&lt;1.5,E7&gt;0.5),TRUE,FALSE)</f>
        <v>1</v>
      </c>
      <c r="I7" t="s">
        <v>449</v>
      </c>
      <c r="J7" t="s">
        <v>464</v>
      </c>
      <c r="K7" t="s">
        <v>459</v>
      </c>
      <c r="L7" s="1"/>
      <c r="M7" s="1"/>
    </row>
    <row r="8" spans="1:13" x14ac:dyDescent="0.2">
      <c r="A8" s="1" t="s">
        <v>10</v>
      </c>
      <c r="B8" s="1">
        <v>0.33129999999999998</v>
      </c>
      <c r="C8" s="1">
        <v>0.33650000000000002</v>
      </c>
      <c r="D8" s="1">
        <v>0.3322</v>
      </c>
      <c r="E8" s="1">
        <f>C8/D8</f>
        <v>1.0129440096327513</v>
      </c>
      <c r="F8" s="1" t="str">
        <f>IF(B8&lt;0.7,"True","False")</f>
        <v>True</v>
      </c>
      <c r="G8" s="1" t="b">
        <f>IF(OR(E8&gt;1.5,E8&lt;0.5),TRUE,FALSE)</f>
        <v>0</v>
      </c>
      <c r="H8" s="1" t="b">
        <f>IF(AND(E8&lt;1.5,E8&gt;0.5),TRUE,FALSE)</f>
        <v>1</v>
      </c>
      <c r="I8" t="s">
        <v>449</v>
      </c>
      <c r="J8" t="s">
        <v>465</v>
      </c>
      <c r="K8" t="s">
        <v>459</v>
      </c>
      <c r="L8" s="1" t="s">
        <v>443</v>
      </c>
      <c r="M8" s="1"/>
    </row>
    <row r="9" spans="1:13" x14ac:dyDescent="0.2">
      <c r="A9" s="1" t="s">
        <v>11</v>
      </c>
      <c r="B9" s="1">
        <v>0.98760000000000003</v>
      </c>
      <c r="C9" s="1">
        <v>6.4999999999999997E-3</v>
      </c>
      <c r="D9" s="1">
        <v>5.8999999999999999E-3</v>
      </c>
      <c r="E9" s="1">
        <f>C9/D9</f>
        <v>1.1016949152542372</v>
      </c>
      <c r="F9" s="1" t="str">
        <f>IF(B9&lt;0.7,"True","False")</f>
        <v>False</v>
      </c>
      <c r="G9" s="1" t="b">
        <f>IF(OR(E9&gt;1.5,E9&lt;0.5),TRUE,FALSE)</f>
        <v>0</v>
      </c>
      <c r="H9" s="1" t="b">
        <f>IF(AND(E9&lt;1.5,E9&gt;0.5),TRUE,FALSE)</f>
        <v>1</v>
      </c>
      <c r="I9" t="s">
        <v>449</v>
      </c>
      <c r="J9" t="s">
        <v>466</v>
      </c>
      <c r="K9" t="s">
        <v>459</v>
      </c>
      <c r="L9" s="1" t="s">
        <v>440</v>
      </c>
      <c r="M9" s="1"/>
    </row>
    <row r="10" spans="1:13" x14ac:dyDescent="0.2">
      <c r="A10" s="1" t="s">
        <v>12</v>
      </c>
      <c r="B10" s="1">
        <v>0.85840000000000005</v>
      </c>
      <c r="C10" s="1">
        <v>3.5000000000000001E-3</v>
      </c>
      <c r="D10" s="1">
        <v>0.1381</v>
      </c>
      <c r="E10" s="1">
        <f>C10/D10</f>
        <v>2.5343953656770456E-2</v>
      </c>
      <c r="F10" s="1" t="str">
        <f>IF(B10&lt;0.7,"True","False")</f>
        <v>False</v>
      </c>
      <c r="G10" s="1" t="b">
        <f>IF(OR(E10&gt;1.5,E10&lt;0.5),TRUE,FALSE)</f>
        <v>1</v>
      </c>
      <c r="H10" s="1" t="b">
        <f>IF(AND(E10&lt;1.5,E10&gt;0.5),TRUE,FALSE)</f>
        <v>0</v>
      </c>
      <c r="I10" t="s">
        <v>450</v>
      </c>
      <c r="J10" t="s">
        <v>467</v>
      </c>
      <c r="K10" t="s">
        <v>468</v>
      </c>
      <c r="L10" s="1"/>
      <c r="M10" s="1"/>
    </row>
    <row r="11" spans="1:13" x14ac:dyDescent="0.2">
      <c r="A11" s="1" t="s">
        <v>13</v>
      </c>
      <c r="B11" s="1">
        <v>0.99670000000000003</v>
      </c>
      <c r="C11" s="1">
        <v>5.9999999999999995E-4</v>
      </c>
      <c r="D11" s="1">
        <v>2.7000000000000001E-3</v>
      </c>
      <c r="E11" s="1">
        <f>C11/D11</f>
        <v>0.22222222222222218</v>
      </c>
      <c r="F11" s="1" t="str">
        <f>IF(B11&lt;0.7,"True","False")</f>
        <v>False</v>
      </c>
      <c r="G11" s="1" t="b">
        <f>IF(OR(E11&gt;1.5,E11&lt;0.5),TRUE,FALSE)</f>
        <v>1</v>
      </c>
      <c r="H11" s="1" t="b">
        <f>IF(AND(E11&lt;1.5,E11&gt;0.5),TRUE,FALSE)</f>
        <v>0</v>
      </c>
      <c r="I11" t="s">
        <v>450</v>
      </c>
      <c r="J11" t="s">
        <v>469</v>
      </c>
      <c r="K11" t="s">
        <v>468</v>
      </c>
      <c r="L11" s="1"/>
      <c r="M11" s="1"/>
    </row>
    <row r="12" spans="1:13" x14ac:dyDescent="0.2">
      <c r="A12" s="1" t="s">
        <v>14</v>
      </c>
      <c r="B12" s="1">
        <v>0.36880000000000002</v>
      </c>
      <c r="C12" s="1">
        <v>0.32200000000000001</v>
      </c>
      <c r="D12" s="1">
        <v>0.30919999999999997</v>
      </c>
      <c r="E12" s="1">
        <f>C12/D12</f>
        <v>1.0413971539456663</v>
      </c>
      <c r="F12" s="1" t="str">
        <f>IF(B12&lt;0.7,"True","False")</f>
        <v>True</v>
      </c>
      <c r="G12" s="1" t="b">
        <f>IF(OR(E12&gt;1.5,E12&lt;0.5),TRUE,FALSE)</f>
        <v>0</v>
      </c>
      <c r="H12" s="1" t="b">
        <f>IF(AND(E12&lt;1.5,E12&gt;0.5),TRUE,FALSE)</f>
        <v>1</v>
      </c>
      <c r="I12" t="s">
        <v>449</v>
      </c>
      <c r="J12" t="s">
        <v>470</v>
      </c>
      <c r="K12" t="s">
        <v>459</v>
      </c>
      <c r="L12" s="1" t="s">
        <v>446</v>
      </c>
      <c r="M12" s="1">
        <f>COUNTIF(E2:E433, "&gt;1.5")</f>
        <v>5</v>
      </c>
    </row>
    <row r="13" spans="1:13" x14ac:dyDescent="0.2">
      <c r="A13" s="1" t="s">
        <v>15</v>
      </c>
      <c r="B13" s="1">
        <v>0.30680000000000002</v>
      </c>
      <c r="C13" s="1">
        <v>0.3473</v>
      </c>
      <c r="D13" s="1">
        <v>0.34589999999999999</v>
      </c>
      <c r="E13" s="1">
        <f>C13/D13</f>
        <v>1.0040474125469789</v>
      </c>
      <c r="F13" s="1" t="str">
        <f>IF(B13&lt;0.7,"True","False")</f>
        <v>True</v>
      </c>
      <c r="G13" s="1" t="b">
        <f>IF(OR(E13&gt;1.5,E13&lt;0.5),TRUE,FALSE)</f>
        <v>0</v>
      </c>
      <c r="H13" s="1" t="b">
        <f>IF(AND(E13&lt;1.5,E13&gt;0.5),TRUE,FALSE)</f>
        <v>1</v>
      </c>
      <c r="I13" t="s">
        <v>449</v>
      </c>
      <c r="J13" t="s">
        <v>471</v>
      </c>
      <c r="K13" t="s">
        <v>459</v>
      </c>
      <c r="L13" s="1" t="s">
        <v>445</v>
      </c>
      <c r="M13" s="1">
        <f>COUNTIF(E2:E433, "&lt;0.5")</f>
        <v>239</v>
      </c>
    </row>
    <row r="14" spans="1:13" x14ac:dyDescent="0.2">
      <c r="A14" s="1" t="s">
        <v>16</v>
      </c>
      <c r="B14" s="1">
        <v>0.99229999999999996</v>
      </c>
      <c r="C14" s="1">
        <v>4.1000000000000003E-3</v>
      </c>
      <c r="D14" s="1">
        <v>3.5999999999999999E-3</v>
      </c>
      <c r="E14" s="1">
        <f>C14/D14</f>
        <v>1.1388888888888891</v>
      </c>
      <c r="F14" s="1" t="str">
        <f>IF(B14&lt;0.7,"True","False")</f>
        <v>False</v>
      </c>
      <c r="G14" s="1" t="b">
        <f>IF(OR(E14&gt;1.5,E14&lt;0.5),TRUE,FALSE)</f>
        <v>0</v>
      </c>
      <c r="H14" s="1" t="b">
        <f>IF(AND(E14&lt;1.5,E14&gt;0.5),TRUE,FALSE)</f>
        <v>1</v>
      </c>
      <c r="I14" t="s">
        <v>449</v>
      </c>
      <c r="J14" t="s">
        <v>472</v>
      </c>
      <c r="K14" t="s">
        <v>459</v>
      </c>
      <c r="L14" s="1"/>
      <c r="M14" s="1"/>
    </row>
    <row r="15" spans="1:13" x14ac:dyDescent="0.2">
      <c r="A15" s="1" t="s">
        <v>17</v>
      </c>
      <c r="B15" s="1">
        <v>0.26629999999999998</v>
      </c>
      <c r="C15" s="1">
        <v>0.37059999999999998</v>
      </c>
      <c r="D15" s="1">
        <v>0.36309999999999998</v>
      </c>
      <c r="E15" s="1">
        <f>C15/D15</f>
        <v>1.0206554668135499</v>
      </c>
      <c r="F15" s="1" t="str">
        <f>IF(B15&lt;0.7,"True","False")</f>
        <v>True</v>
      </c>
      <c r="G15" s="1" t="b">
        <f>IF(OR(E15&gt;1.5,E15&lt;0.5),TRUE,FALSE)</f>
        <v>0</v>
      </c>
      <c r="H15" s="1" t="b">
        <f>IF(AND(E15&lt;1.5,E15&gt;0.5),TRUE,FALSE)</f>
        <v>1</v>
      </c>
      <c r="I15" t="s">
        <v>449</v>
      </c>
      <c r="J15" t="s">
        <v>473</v>
      </c>
      <c r="K15" t="s">
        <v>459</v>
      </c>
      <c r="L15" s="1" t="s">
        <v>447</v>
      </c>
      <c r="M15" s="1">
        <f>COUNTIFS(E2:E433, "&gt;0.5", E2:E433, "&lt;1.5")</f>
        <v>188</v>
      </c>
    </row>
    <row r="16" spans="1:13" x14ac:dyDescent="0.2">
      <c r="A16" s="1" t="s">
        <v>18</v>
      </c>
      <c r="B16" s="1">
        <v>0.99550000000000005</v>
      </c>
      <c r="C16" s="1">
        <v>2.3E-3</v>
      </c>
      <c r="D16" s="1">
        <v>2.2000000000000001E-3</v>
      </c>
      <c r="E16" s="1">
        <f>C16/D16</f>
        <v>1.0454545454545454</v>
      </c>
      <c r="F16" s="1" t="str">
        <f>IF(B16&lt;0.7,"True","False")</f>
        <v>False</v>
      </c>
      <c r="G16" s="1" t="b">
        <f>IF(OR(E16&gt;1.5,E16&lt;0.5),TRUE,FALSE)</f>
        <v>0</v>
      </c>
      <c r="H16" s="1" t="b">
        <f>IF(AND(E16&lt;1.5,E16&gt;0.5),TRUE,FALSE)</f>
        <v>1</v>
      </c>
      <c r="I16" t="s">
        <v>449</v>
      </c>
      <c r="J16" t="s">
        <v>474</v>
      </c>
      <c r="K16" t="s">
        <v>459</v>
      </c>
      <c r="L16" s="1"/>
      <c r="M16" s="1"/>
    </row>
    <row r="17" spans="1:13" x14ac:dyDescent="0.2">
      <c r="A17" s="1" t="s">
        <v>19</v>
      </c>
      <c r="B17" s="1">
        <v>0.35970000000000002</v>
      </c>
      <c r="C17" s="1">
        <v>0.32029999999999997</v>
      </c>
      <c r="D17" s="1">
        <v>0.32</v>
      </c>
      <c r="E17" s="1">
        <f>C17/D17</f>
        <v>1.0009374999999998</v>
      </c>
      <c r="F17" s="1" t="str">
        <f>IF(B17&lt;0.7,"True","False")</f>
        <v>True</v>
      </c>
      <c r="G17" s="1" t="b">
        <f>IF(OR(E17&gt;1.5,E17&lt;0.5),TRUE,FALSE)</f>
        <v>0</v>
      </c>
      <c r="H17" s="1" t="b">
        <f>IF(AND(E17&lt;1.5,E17&gt;0.5),TRUE,FALSE)</f>
        <v>1</v>
      </c>
      <c r="I17" t="s">
        <v>449</v>
      </c>
      <c r="J17" t="s">
        <v>475</v>
      </c>
      <c r="K17" t="s">
        <v>459</v>
      </c>
      <c r="L17" s="1"/>
      <c r="M17" s="1"/>
    </row>
    <row r="18" spans="1:13" x14ac:dyDescent="0.2">
      <c r="A18" s="1" t="s">
        <v>20</v>
      </c>
      <c r="B18" s="1">
        <v>0.99519999999999997</v>
      </c>
      <c r="C18" s="1">
        <v>2.5000000000000001E-3</v>
      </c>
      <c r="D18" s="1">
        <v>2.3E-3</v>
      </c>
      <c r="E18" s="1">
        <f>C18/D18</f>
        <v>1.0869565217391304</v>
      </c>
      <c r="F18" s="1" t="str">
        <f>IF(B18&lt;0.7,"True","False")</f>
        <v>False</v>
      </c>
      <c r="G18" s="1" t="b">
        <f>IF(OR(E18&gt;1.5,E18&lt;0.5),TRUE,FALSE)</f>
        <v>0</v>
      </c>
      <c r="H18" s="1" t="b">
        <f>IF(AND(E18&lt;1.5,E18&gt;0.5),TRUE,FALSE)</f>
        <v>1</v>
      </c>
      <c r="I18" t="s">
        <v>449</v>
      </c>
      <c r="J18" t="s">
        <v>476</v>
      </c>
      <c r="K18" t="s">
        <v>459</v>
      </c>
      <c r="L18" s="1"/>
      <c r="M18" s="1"/>
    </row>
    <row r="19" spans="1:13" x14ac:dyDescent="0.2">
      <c r="A19" s="1" t="s">
        <v>21</v>
      </c>
      <c r="B19" s="1">
        <v>0.99380000000000002</v>
      </c>
      <c r="C19" s="1">
        <v>3.5999999999999999E-3</v>
      </c>
      <c r="D19" s="1">
        <v>2.7000000000000001E-3</v>
      </c>
      <c r="E19" s="1">
        <f>C19/D19</f>
        <v>1.3333333333333333</v>
      </c>
      <c r="F19" s="1" t="str">
        <f>IF(B19&lt;0.7,"True","False")</f>
        <v>False</v>
      </c>
      <c r="G19" s="1" t="b">
        <f>IF(OR(E19&gt;1.5,E19&lt;0.5),TRUE,FALSE)</f>
        <v>0</v>
      </c>
      <c r="H19" s="1" t="b">
        <f>IF(AND(E19&lt;1.5,E19&gt;0.5),TRUE,FALSE)</f>
        <v>1</v>
      </c>
      <c r="I19" t="s">
        <v>449</v>
      </c>
      <c r="J19" t="s">
        <v>477</v>
      </c>
      <c r="K19" t="s">
        <v>459</v>
      </c>
      <c r="L19" s="1"/>
      <c r="M19" s="1"/>
    </row>
    <row r="20" spans="1:13" x14ac:dyDescent="0.2">
      <c r="A20" s="1" t="s">
        <v>22</v>
      </c>
      <c r="B20" s="1">
        <v>0.99490000000000001</v>
      </c>
      <c r="C20" s="1">
        <v>2.8999999999999998E-3</v>
      </c>
      <c r="D20" s="1">
        <v>2.3E-3</v>
      </c>
      <c r="E20" s="1">
        <f>C20/D20</f>
        <v>1.2608695652173911</v>
      </c>
      <c r="F20" s="1" t="str">
        <f>IF(B20&lt;0.7,"True","False")</f>
        <v>False</v>
      </c>
      <c r="G20" s="1" t="b">
        <f>IF(OR(E20&gt;1.5,E20&lt;0.5),TRUE,FALSE)</f>
        <v>0</v>
      </c>
      <c r="H20" s="1" t="b">
        <f>IF(AND(E20&lt;1.5,E20&gt;0.5),TRUE,FALSE)</f>
        <v>1</v>
      </c>
      <c r="I20" t="s">
        <v>449</v>
      </c>
      <c r="J20" t="s">
        <v>478</v>
      </c>
      <c r="K20" t="s">
        <v>459</v>
      </c>
      <c r="L20" s="1"/>
      <c r="M20" s="1"/>
    </row>
    <row r="21" spans="1:13" x14ac:dyDescent="0.2">
      <c r="A21" s="1" t="s">
        <v>23</v>
      </c>
      <c r="B21" s="1">
        <v>0.99480000000000002</v>
      </c>
      <c r="C21" s="1">
        <v>2.5000000000000001E-3</v>
      </c>
      <c r="D21" s="1">
        <v>2.7000000000000001E-3</v>
      </c>
      <c r="E21" s="1">
        <f>C21/D21</f>
        <v>0.92592592592592593</v>
      </c>
      <c r="F21" s="1" t="str">
        <f>IF(B21&lt;0.7,"True","False")</f>
        <v>False</v>
      </c>
      <c r="G21" s="1" t="b">
        <f>IF(OR(E21&gt;1.5,E21&lt;0.5),TRUE,FALSE)</f>
        <v>0</v>
      </c>
      <c r="H21" s="1" t="b">
        <f>IF(AND(E21&lt;1.5,E21&gt;0.5),TRUE,FALSE)</f>
        <v>1</v>
      </c>
      <c r="I21" t="s">
        <v>449</v>
      </c>
      <c r="J21" t="s">
        <v>479</v>
      </c>
      <c r="K21" t="s">
        <v>459</v>
      </c>
      <c r="L21" s="1"/>
      <c r="M21" s="1"/>
    </row>
    <row r="22" spans="1:13" x14ac:dyDescent="0.2">
      <c r="A22" s="1" t="s">
        <v>24</v>
      </c>
      <c r="B22" s="1">
        <v>0.99670000000000003</v>
      </c>
      <c r="C22" s="1">
        <v>1.6000000000000001E-3</v>
      </c>
      <c r="D22" s="1">
        <v>1.6000000000000001E-3</v>
      </c>
      <c r="E22" s="1">
        <f>C22/D22</f>
        <v>1</v>
      </c>
      <c r="F22" s="1" t="str">
        <f>IF(B22&lt;0.7,"True","False")</f>
        <v>False</v>
      </c>
      <c r="G22" s="1" t="b">
        <f>IF(OR(E22&gt;1.5,E22&lt;0.5),TRUE,FALSE)</f>
        <v>0</v>
      </c>
      <c r="H22" s="1" t="b">
        <f>IF(AND(E22&lt;1.5,E22&gt;0.5),TRUE,FALSE)</f>
        <v>1</v>
      </c>
      <c r="I22" t="s">
        <v>449</v>
      </c>
      <c r="J22" t="s">
        <v>480</v>
      </c>
      <c r="K22" t="s">
        <v>459</v>
      </c>
      <c r="L22" s="1"/>
      <c r="M22" s="1"/>
    </row>
    <row r="23" spans="1:13" x14ac:dyDescent="0.2">
      <c r="A23" s="1" t="s">
        <v>25</v>
      </c>
      <c r="B23" s="1">
        <v>0.99260000000000004</v>
      </c>
      <c r="C23" s="1">
        <v>1.9E-3</v>
      </c>
      <c r="D23" s="1">
        <v>5.4999999999999997E-3</v>
      </c>
      <c r="E23" s="1">
        <f>C23/D23</f>
        <v>0.34545454545454546</v>
      </c>
      <c r="F23" s="1" t="str">
        <f>IF(B23&lt;0.7,"True","False")</f>
        <v>False</v>
      </c>
      <c r="G23" s="1" t="b">
        <f>IF(OR(E23&gt;1.5,E23&lt;0.5),TRUE,FALSE)</f>
        <v>1</v>
      </c>
      <c r="H23" s="1" t="b">
        <f>IF(AND(E23&lt;1.5,E23&gt;0.5),TRUE,FALSE)</f>
        <v>0</v>
      </c>
      <c r="I23" t="s">
        <v>450</v>
      </c>
      <c r="J23" t="s">
        <v>481</v>
      </c>
      <c r="K23" t="s">
        <v>468</v>
      </c>
      <c r="L23" s="1"/>
      <c r="M23" s="1"/>
    </row>
    <row r="24" spans="1:13" x14ac:dyDescent="0.2">
      <c r="A24" s="1" t="s">
        <v>26</v>
      </c>
      <c r="B24" s="1">
        <v>0.94510000000000005</v>
      </c>
      <c r="C24" s="1">
        <v>2.86E-2</v>
      </c>
      <c r="D24" s="1">
        <v>2.63E-2</v>
      </c>
      <c r="E24" s="1">
        <f>C24/D24</f>
        <v>1.0874524714828897</v>
      </c>
      <c r="F24" s="1" t="str">
        <f>IF(B24&lt;0.7,"True","False")</f>
        <v>False</v>
      </c>
      <c r="G24" s="1" t="b">
        <f>IF(OR(E24&gt;1.5,E24&lt;0.5),TRUE,FALSE)</f>
        <v>0</v>
      </c>
      <c r="H24" s="1" t="b">
        <f>IF(AND(E24&lt;1.5,E24&gt;0.5),TRUE,FALSE)</f>
        <v>1</v>
      </c>
      <c r="I24" t="s">
        <v>449</v>
      </c>
      <c r="J24" t="s">
        <v>482</v>
      </c>
      <c r="K24" t="s">
        <v>459</v>
      </c>
      <c r="L24" s="1"/>
      <c r="M24" s="1"/>
    </row>
    <row r="25" spans="1:13" x14ac:dyDescent="0.2">
      <c r="A25" s="1" t="s">
        <v>27</v>
      </c>
      <c r="B25" s="1">
        <v>0.99670000000000003</v>
      </c>
      <c r="C25" s="1">
        <v>1.5E-3</v>
      </c>
      <c r="D25" s="1">
        <v>1.8E-3</v>
      </c>
      <c r="E25" s="1">
        <f>C25/D25</f>
        <v>0.83333333333333337</v>
      </c>
      <c r="F25" s="1" t="str">
        <f>IF(B25&lt;0.7,"True","False")</f>
        <v>False</v>
      </c>
      <c r="G25" s="1" t="b">
        <f>IF(OR(E25&gt;1.5,E25&lt;0.5),TRUE,FALSE)</f>
        <v>0</v>
      </c>
      <c r="H25" s="1" t="b">
        <f>IF(AND(E25&lt;1.5,E25&gt;0.5),TRUE,FALSE)</f>
        <v>1</v>
      </c>
      <c r="I25" t="s">
        <v>449</v>
      </c>
      <c r="J25" t="s">
        <v>483</v>
      </c>
      <c r="K25" t="s">
        <v>459</v>
      </c>
      <c r="L25" s="1"/>
      <c r="M25" s="1"/>
    </row>
    <row r="26" spans="1:13" x14ac:dyDescent="0.2">
      <c r="A26" s="1" t="s">
        <v>28</v>
      </c>
      <c r="B26" s="1">
        <v>0.73229999999999995</v>
      </c>
      <c r="C26" s="1">
        <v>4.4000000000000003E-3</v>
      </c>
      <c r="D26" s="1">
        <v>0.26329999999999998</v>
      </c>
      <c r="E26" s="1">
        <f>C26/D26</f>
        <v>1.6710976072920627E-2</v>
      </c>
      <c r="F26" s="1" t="str">
        <f>IF(B26&lt;0.7,"True","False")</f>
        <v>False</v>
      </c>
      <c r="G26" s="1" t="b">
        <f>IF(OR(E26&gt;1.5,E26&lt;0.5),TRUE,FALSE)</f>
        <v>1</v>
      </c>
      <c r="H26" s="1" t="b">
        <f>IF(AND(E26&lt;1.5,E26&gt;0.5),TRUE,FALSE)</f>
        <v>0</v>
      </c>
      <c r="I26" t="s">
        <v>450</v>
      </c>
      <c r="J26" t="s">
        <v>484</v>
      </c>
      <c r="K26" t="s">
        <v>468</v>
      </c>
      <c r="L26" s="1"/>
      <c r="M26" s="1"/>
    </row>
    <row r="27" spans="1:13" x14ac:dyDescent="0.2">
      <c r="A27" s="1" t="s">
        <v>29</v>
      </c>
      <c r="B27" s="1">
        <v>0.94469999999999998</v>
      </c>
      <c r="C27" s="1">
        <v>4.99E-2</v>
      </c>
      <c r="D27" s="1">
        <v>5.3E-3</v>
      </c>
      <c r="E27" s="1">
        <f>C27/D27</f>
        <v>9.415094339622641</v>
      </c>
      <c r="F27" s="1" t="str">
        <f>IF(B27&lt;0.7,"True","False")</f>
        <v>False</v>
      </c>
      <c r="G27" s="1" t="b">
        <f>IF(OR(E27&gt;1.5,E27&lt;0.5),TRUE,FALSE)</f>
        <v>1</v>
      </c>
      <c r="H27" s="1" t="b">
        <f>IF(AND(E27&lt;1.5,E27&gt;0.5),TRUE,FALSE)</f>
        <v>0</v>
      </c>
      <c r="I27" t="s">
        <v>450</v>
      </c>
      <c r="J27" t="s">
        <v>485</v>
      </c>
      <c r="K27" t="s">
        <v>468</v>
      </c>
      <c r="L27" s="1"/>
      <c r="M27" s="1"/>
    </row>
    <row r="28" spans="1:13" x14ac:dyDescent="0.2">
      <c r="A28" s="1" t="s">
        <v>30</v>
      </c>
      <c r="B28" s="1">
        <v>0.6391</v>
      </c>
      <c r="C28" s="1">
        <v>0.18049999999999999</v>
      </c>
      <c r="D28" s="1">
        <v>0.1804</v>
      </c>
      <c r="E28" s="1">
        <f>C28/D28</f>
        <v>1.0005543237250554</v>
      </c>
      <c r="F28" s="1" t="str">
        <f>IF(B28&lt;0.7,"True","False")</f>
        <v>True</v>
      </c>
      <c r="G28" s="1" t="b">
        <f>IF(OR(E28&gt;1.5,E28&lt;0.5),TRUE,FALSE)</f>
        <v>0</v>
      </c>
      <c r="H28" s="1" t="b">
        <f>IF(AND(E28&lt;1.5,E28&gt;0.5),TRUE,FALSE)</f>
        <v>1</v>
      </c>
      <c r="I28" t="s">
        <v>449</v>
      </c>
      <c r="J28" t="s">
        <v>486</v>
      </c>
      <c r="K28" t="s">
        <v>459</v>
      </c>
      <c r="L28" s="1"/>
      <c r="M28" s="1"/>
    </row>
    <row r="29" spans="1:13" x14ac:dyDescent="0.2">
      <c r="A29" s="1" t="s">
        <v>31</v>
      </c>
      <c r="B29" s="1">
        <v>0.61580000000000001</v>
      </c>
      <c r="C29" s="1">
        <v>0.19389999999999999</v>
      </c>
      <c r="D29" s="1">
        <v>0.19040000000000001</v>
      </c>
      <c r="E29" s="1">
        <f>C29/D29</f>
        <v>1.0183823529411764</v>
      </c>
      <c r="F29" s="1" t="str">
        <f>IF(B29&lt;0.7,"True","False")</f>
        <v>True</v>
      </c>
      <c r="G29" s="1" t="b">
        <f>IF(OR(E29&gt;1.5,E29&lt;0.5),TRUE,FALSE)</f>
        <v>0</v>
      </c>
      <c r="H29" s="1" t="b">
        <f>IF(AND(E29&lt;1.5,E29&gt;0.5),TRUE,FALSE)</f>
        <v>1</v>
      </c>
      <c r="I29" t="s">
        <v>449</v>
      </c>
      <c r="J29" t="s">
        <v>487</v>
      </c>
      <c r="K29" t="s">
        <v>459</v>
      </c>
      <c r="L29" s="1"/>
      <c r="M29" s="1"/>
    </row>
    <row r="30" spans="1:13" x14ac:dyDescent="0.2">
      <c r="A30" s="1" t="s">
        <v>32</v>
      </c>
      <c r="B30" s="1">
        <v>0.67569999999999997</v>
      </c>
      <c r="C30" s="1">
        <v>0.161</v>
      </c>
      <c r="D30" s="1">
        <v>0.1633</v>
      </c>
      <c r="E30" s="1">
        <f>C30/D30</f>
        <v>0.9859154929577465</v>
      </c>
      <c r="F30" s="1" t="str">
        <f>IF(B30&lt;0.7,"True","False")</f>
        <v>True</v>
      </c>
      <c r="G30" s="1" t="b">
        <f>IF(OR(E30&gt;1.5,E30&lt;0.5),TRUE,FALSE)</f>
        <v>0</v>
      </c>
      <c r="H30" s="1" t="b">
        <f>IF(AND(E30&lt;1.5,E30&gt;0.5),TRUE,FALSE)</f>
        <v>1</v>
      </c>
      <c r="I30" t="s">
        <v>449</v>
      </c>
      <c r="J30" t="s">
        <v>488</v>
      </c>
      <c r="K30" t="s">
        <v>459</v>
      </c>
      <c r="L30" s="1"/>
      <c r="M30" s="1"/>
    </row>
    <row r="31" spans="1:13" x14ac:dyDescent="0.2">
      <c r="A31" s="1" t="s">
        <v>33</v>
      </c>
      <c r="B31" s="1">
        <v>0.59619999999999995</v>
      </c>
      <c r="C31" s="1">
        <v>0.2046</v>
      </c>
      <c r="D31" s="1">
        <v>0.1991</v>
      </c>
      <c r="E31" s="1">
        <f>C31/D31</f>
        <v>1.0276243093922652</v>
      </c>
      <c r="F31" s="1" t="str">
        <f>IF(B31&lt;0.7,"True","False")</f>
        <v>True</v>
      </c>
      <c r="G31" s="1" t="b">
        <f>IF(OR(E31&gt;1.5,E31&lt;0.5),TRUE,FALSE)</f>
        <v>0</v>
      </c>
      <c r="H31" s="1" t="b">
        <f>IF(AND(E31&lt;1.5,E31&gt;0.5),TRUE,FALSE)</f>
        <v>1</v>
      </c>
      <c r="I31" t="s">
        <v>449</v>
      </c>
      <c r="J31" t="s">
        <v>489</v>
      </c>
      <c r="K31" t="s">
        <v>459</v>
      </c>
      <c r="L31" s="1"/>
      <c r="M31" s="1"/>
    </row>
    <row r="32" spans="1:13" x14ac:dyDescent="0.2">
      <c r="A32" s="1" t="s">
        <v>34</v>
      </c>
      <c r="B32" s="1">
        <v>0.54979999999999996</v>
      </c>
      <c r="C32" s="1">
        <v>0.2276</v>
      </c>
      <c r="D32" s="1">
        <v>0.22259999999999999</v>
      </c>
      <c r="E32" s="1">
        <f>C32/D32</f>
        <v>1.0224618149146452</v>
      </c>
      <c r="F32" s="1" t="str">
        <f>IF(B32&lt;0.7,"True","False")</f>
        <v>True</v>
      </c>
      <c r="G32" s="1" t="b">
        <f>IF(OR(E32&gt;1.5,E32&lt;0.5),TRUE,FALSE)</f>
        <v>0</v>
      </c>
      <c r="H32" s="1" t="b">
        <f>IF(AND(E32&lt;1.5,E32&gt;0.5),TRUE,FALSE)</f>
        <v>1</v>
      </c>
      <c r="I32" t="s">
        <v>449</v>
      </c>
      <c r="J32" t="s">
        <v>490</v>
      </c>
      <c r="K32" t="s">
        <v>459</v>
      </c>
      <c r="L32" s="1"/>
      <c r="M32" s="1"/>
    </row>
    <row r="33" spans="1:13" x14ac:dyDescent="0.2">
      <c r="A33" s="1" t="s">
        <v>35</v>
      </c>
      <c r="B33" s="1">
        <v>0.69899999999999995</v>
      </c>
      <c r="C33" s="1">
        <v>0.15110000000000001</v>
      </c>
      <c r="D33" s="1">
        <v>0.14990000000000001</v>
      </c>
      <c r="E33" s="1">
        <f>C33/D33</f>
        <v>1.0080053368912609</v>
      </c>
      <c r="F33" s="1" t="str">
        <f>IF(B33&lt;0.7,"True","False")</f>
        <v>True</v>
      </c>
      <c r="G33" s="1" t="b">
        <f>IF(OR(E33&gt;1.5,E33&lt;0.5),TRUE,FALSE)</f>
        <v>0</v>
      </c>
      <c r="H33" s="1" t="b">
        <f>IF(AND(E33&lt;1.5,E33&gt;0.5),TRUE,FALSE)</f>
        <v>1</v>
      </c>
      <c r="I33" t="s">
        <v>449</v>
      </c>
      <c r="J33" t="s">
        <v>491</v>
      </c>
      <c r="K33" t="s">
        <v>459</v>
      </c>
      <c r="L33" s="1"/>
      <c r="M33" s="1"/>
    </row>
    <row r="34" spans="1:13" x14ac:dyDescent="0.2">
      <c r="A34" s="1" t="s">
        <v>36</v>
      </c>
      <c r="B34" s="1">
        <v>0.39929999999999999</v>
      </c>
      <c r="C34" s="1">
        <v>0.30299999999999999</v>
      </c>
      <c r="D34" s="1">
        <v>0.29770000000000002</v>
      </c>
      <c r="E34" s="1">
        <f>C34/D34</f>
        <v>1.0178031575411488</v>
      </c>
      <c r="F34" s="1" t="str">
        <f>IF(B34&lt;0.7,"True","False")</f>
        <v>True</v>
      </c>
      <c r="G34" s="1" t="b">
        <f>IF(OR(E34&gt;1.5,E34&lt;0.5),TRUE,FALSE)</f>
        <v>0</v>
      </c>
      <c r="H34" s="1" t="b">
        <f>IF(AND(E34&lt;1.5,E34&gt;0.5),TRUE,FALSE)</f>
        <v>1</v>
      </c>
      <c r="I34" t="s">
        <v>449</v>
      </c>
      <c r="J34" t="s">
        <v>492</v>
      </c>
      <c r="K34" t="s">
        <v>459</v>
      </c>
      <c r="L34" s="1"/>
      <c r="M34" s="1"/>
    </row>
    <row r="35" spans="1:13" x14ac:dyDescent="0.2">
      <c r="A35" s="1" t="s">
        <v>37</v>
      </c>
      <c r="B35" s="1">
        <v>0.75839999999999996</v>
      </c>
      <c r="C35" s="1">
        <v>0.1201</v>
      </c>
      <c r="D35" s="1">
        <v>0.1215</v>
      </c>
      <c r="E35" s="1">
        <f>C35/D35</f>
        <v>0.98847736625514404</v>
      </c>
      <c r="F35" s="1" t="str">
        <f>IF(B35&lt;0.7,"True","False")</f>
        <v>False</v>
      </c>
      <c r="G35" s="1" t="b">
        <f>IF(OR(E35&gt;1.5,E35&lt;0.5),TRUE,FALSE)</f>
        <v>0</v>
      </c>
      <c r="H35" s="1" t="b">
        <f>IF(AND(E35&lt;1.5,E35&gt;0.5),TRUE,FALSE)</f>
        <v>1</v>
      </c>
      <c r="I35" t="s">
        <v>449</v>
      </c>
      <c r="J35" t="s">
        <v>493</v>
      </c>
      <c r="K35" t="s">
        <v>459</v>
      </c>
      <c r="L35" s="1"/>
      <c r="M35" s="1"/>
    </row>
    <row r="36" spans="1:13" x14ac:dyDescent="0.2">
      <c r="A36" s="1" t="s">
        <v>38</v>
      </c>
      <c r="B36" s="1">
        <v>0.98380000000000001</v>
      </c>
      <c r="C36" s="1">
        <v>9.1000000000000004E-3</v>
      </c>
      <c r="D36" s="1">
        <v>7.1999999999999998E-3</v>
      </c>
      <c r="E36" s="1">
        <f>C36/D36</f>
        <v>1.2638888888888891</v>
      </c>
      <c r="F36" s="1" t="str">
        <f>IF(B36&lt;0.7,"True","False")</f>
        <v>False</v>
      </c>
      <c r="G36" s="1" t="b">
        <f>IF(OR(E36&gt;1.5,E36&lt;0.5),TRUE,FALSE)</f>
        <v>0</v>
      </c>
      <c r="H36" s="1" t="b">
        <f>IF(AND(E36&lt;1.5,E36&gt;0.5),TRUE,FALSE)</f>
        <v>1</v>
      </c>
      <c r="I36" t="s">
        <v>449</v>
      </c>
      <c r="J36" t="s">
        <v>494</v>
      </c>
      <c r="K36" t="s">
        <v>459</v>
      </c>
      <c r="L36" s="1"/>
      <c r="M36" s="1"/>
    </row>
    <row r="37" spans="1:13" x14ac:dyDescent="0.2">
      <c r="A37" s="1" t="s">
        <v>39</v>
      </c>
      <c r="B37" s="1">
        <v>0.96619999999999995</v>
      </c>
      <c r="C37" s="1">
        <v>1.9300000000000001E-2</v>
      </c>
      <c r="D37" s="1">
        <v>1.4500000000000001E-2</v>
      </c>
      <c r="E37" s="1">
        <f>C37/D37</f>
        <v>1.3310344827586207</v>
      </c>
      <c r="F37" s="1" t="str">
        <f>IF(B37&lt;0.7,"True","False")</f>
        <v>False</v>
      </c>
      <c r="G37" s="1" t="b">
        <f>IF(OR(E37&gt;1.5,E37&lt;0.5),TRUE,FALSE)</f>
        <v>0</v>
      </c>
      <c r="H37" s="1" t="b">
        <f>IF(AND(E37&lt;1.5,E37&gt;0.5),TRUE,FALSE)</f>
        <v>1</v>
      </c>
      <c r="I37" t="s">
        <v>449</v>
      </c>
      <c r="J37" t="s">
        <v>495</v>
      </c>
      <c r="K37" t="s">
        <v>459</v>
      </c>
      <c r="L37" s="1"/>
      <c r="M37" s="1"/>
    </row>
    <row r="38" spans="1:13" x14ac:dyDescent="0.2">
      <c r="A38" s="1" t="s">
        <v>40</v>
      </c>
      <c r="B38" s="1">
        <v>0.99309999999999998</v>
      </c>
      <c r="C38" s="1">
        <v>5.9999999999999995E-4</v>
      </c>
      <c r="D38" s="1">
        <v>6.3E-3</v>
      </c>
      <c r="E38" s="1">
        <f>C38/D38</f>
        <v>9.5238095238095233E-2</v>
      </c>
      <c r="F38" s="1" t="str">
        <f>IF(B38&lt;0.7,"True","False")</f>
        <v>False</v>
      </c>
      <c r="G38" s="1" t="b">
        <f>IF(OR(E38&gt;1.5,E38&lt;0.5),TRUE,FALSE)</f>
        <v>1</v>
      </c>
      <c r="H38" s="1" t="b">
        <f>IF(AND(E38&lt;1.5,E38&gt;0.5),TRUE,FALSE)</f>
        <v>0</v>
      </c>
      <c r="I38" t="s">
        <v>450</v>
      </c>
      <c r="J38" t="s">
        <v>496</v>
      </c>
      <c r="K38" t="s">
        <v>468</v>
      </c>
      <c r="L38" s="1"/>
      <c r="M38" s="1"/>
    </row>
    <row r="39" spans="1:13" x14ac:dyDescent="0.2">
      <c r="A39" s="1" t="s">
        <v>41</v>
      </c>
      <c r="B39" s="1">
        <v>0.99690000000000001</v>
      </c>
      <c r="C39" s="1">
        <v>8.0000000000000004E-4</v>
      </c>
      <c r="D39" s="1">
        <v>2.3E-3</v>
      </c>
      <c r="E39" s="1">
        <f>C39/D39</f>
        <v>0.34782608695652178</v>
      </c>
      <c r="F39" s="1" t="str">
        <f>IF(B39&lt;0.7,"True","False")</f>
        <v>False</v>
      </c>
      <c r="G39" s="1" t="b">
        <f>IF(OR(E39&gt;1.5,E39&lt;0.5),TRUE,FALSE)</f>
        <v>1</v>
      </c>
      <c r="H39" s="1" t="b">
        <f>IF(AND(E39&lt;1.5,E39&gt;0.5),TRUE,FALSE)</f>
        <v>0</v>
      </c>
      <c r="I39" t="s">
        <v>450</v>
      </c>
      <c r="J39" t="s">
        <v>497</v>
      </c>
      <c r="K39" t="s">
        <v>468</v>
      </c>
      <c r="L39" s="1"/>
      <c r="M39" s="1"/>
    </row>
    <row r="40" spans="1:13" x14ac:dyDescent="0.2">
      <c r="A40" s="1" t="s">
        <v>42</v>
      </c>
      <c r="B40" s="1">
        <v>0.38030000000000003</v>
      </c>
      <c r="C40" s="1">
        <v>0.31309999999999999</v>
      </c>
      <c r="D40" s="1">
        <v>0.30649999999999999</v>
      </c>
      <c r="E40" s="1">
        <f>C40/D40</f>
        <v>1.0215334420880913</v>
      </c>
      <c r="F40" s="1" t="str">
        <f>IF(B40&lt;0.7,"True","False")</f>
        <v>True</v>
      </c>
      <c r="G40" s="1" t="b">
        <f>IF(OR(E40&gt;1.5,E40&lt;0.5),TRUE,FALSE)</f>
        <v>0</v>
      </c>
      <c r="H40" s="1" t="b">
        <f>IF(AND(E40&lt;1.5,E40&gt;0.5),TRUE,FALSE)</f>
        <v>1</v>
      </c>
      <c r="I40" t="s">
        <v>449</v>
      </c>
      <c r="J40" t="s">
        <v>498</v>
      </c>
      <c r="K40" t="s">
        <v>459</v>
      </c>
      <c r="L40" s="1"/>
      <c r="M40" s="1"/>
    </row>
    <row r="41" spans="1:13" x14ac:dyDescent="0.2">
      <c r="A41" s="1" t="s">
        <v>43</v>
      </c>
      <c r="B41" s="1">
        <v>0.85450000000000004</v>
      </c>
      <c r="C41" s="1">
        <v>7.2800000000000004E-2</v>
      </c>
      <c r="D41" s="1">
        <v>7.2700000000000001E-2</v>
      </c>
      <c r="E41" s="1">
        <f>C41/D41</f>
        <v>1.0013755158184319</v>
      </c>
      <c r="F41" s="1" t="str">
        <f>IF(B41&lt;0.7,"True","False")</f>
        <v>False</v>
      </c>
      <c r="G41" s="1" t="b">
        <f>IF(OR(E41&gt;1.5,E41&lt;0.5),TRUE,FALSE)</f>
        <v>0</v>
      </c>
      <c r="H41" s="1" t="b">
        <f>IF(AND(E41&lt;1.5,E41&gt;0.5),TRUE,FALSE)</f>
        <v>1</v>
      </c>
      <c r="I41" t="s">
        <v>449</v>
      </c>
      <c r="J41" t="s">
        <v>499</v>
      </c>
      <c r="K41" t="s">
        <v>459</v>
      </c>
      <c r="L41" s="1"/>
      <c r="M41" s="1"/>
    </row>
    <row r="42" spans="1:13" x14ac:dyDescent="0.2">
      <c r="A42" s="1" t="s">
        <v>44</v>
      </c>
      <c r="B42" s="1">
        <v>0.95009999999999994</v>
      </c>
      <c r="C42" s="1">
        <v>2.52E-2</v>
      </c>
      <c r="D42" s="1">
        <v>2.47E-2</v>
      </c>
      <c r="E42" s="1">
        <f>C42/D42</f>
        <v>1.0202429149797572</v>
      </c>
      <c r="F42" s="1" t="str">
        <f>IF(B42&lt;0.7,"True","False")</f>
        <v>False</v>
      </c>
      <c r="G42" s="1" t="b">
        <f>IF(OR(E42&gt;1.5,E42&lt;0.5),TRUE,FALSE)</f>
        <v>0</v>
      </c>
      <c r="H42" s="1" t="b">
        <f>IF(AND(E42&lt;1.5,E42&gt;0.5),TRUE,FALSE)</f>
        <v>1</v>
      </c>
      <c r="I42" t="s">
        <v>449</v>
      </c>
      <c r="J42" t="s">
        <v>500</v>
      </c>
      <c r="K42" t="s">
        <v>459</v>
      </c>
      <c r="L42" s="1"/>
      <c r="M42" s="1"/>
    </row>
    <row r="43" spans="1:13" x14ac:dyDescent="0.2">
      <c r="A43" s="1" t="s">
        <v>45</v>
      </c>
      <c r="B43" s="1">
        <v>0.99809999999999999</v>
      </c>
      <c r="C43" s="1">
        <v>8.9999999999999998E-4</v>
      </c>
      <c r="D43" s="1">
        <v>1.1000000000000001E-3</v>
      </c>
      <c r="E43" s="1">
        <f>C43/D43</f>
        <v>0.81818181818181812</v>
      </c>
      <c r="F43" s="1" t="str">
        <f>IF(B43&lt;0.7,"True","False")</f>
        <v>False</v>
      </c>
      <c r="G43" s="1" t="b">
        <f>IF(OR(E43&gt;1.5,E43&lt;0.5),TRUE,FALSE)</f>
        <v>0</v>
      </c>
      <c r="H43" s="1" t="b">
        <f>IF(AND(E43&lt;1.5,E43&gt;0.5),TRUE,FALSE)</f>
        <v>1</v>
      </c>
      <c r="I43" t="s">
        <v>449</v>
      </c>
      <c r="J43" t="s">
        <v>501</v>
      </c>
      <c r="K43" t="s">
        <v>459</v>
      </c>
      <c r="L43" s="1"/>
      <c r="M43" s="1"/>
    </row>
    <row r="44" spans="1:13" x14ac:dyDescent="0.2">
      <c r="A44" s="1" t="s">
        <v>46</v>
      </c>
      <c r="B44" s="1">
        <v>0.28310000000000002</v>
      </c>
      <c r="C44" s="1">
        <v>0.36349999999999999</v>
      </c>
      <c r="D44" s="1">
        <v>0.35339999999999999</v>
      </c>
      <c r="E44" s="1">
        <f>C44/D44</f>
        <v>1.0285795132993776</v>
      </c>
      <c r="F44" s="1" t="str">
        <f>IF(B44&lt;0.7,"True","False")</f>
        <v>True</v>
      </c>
      <c r="G44" s="1" t="b">
        <f>IF(OR(E44&gt;1.5,E44&lt;0.5),TRUE,FALSE)</f>
        <v>0</v>
      </c>
      <c r="H44" s="1" t="b">
        <f>IF(AND(E44&lt;1.5,E44&gt;0.5),TRUE,FALSE)</f>
        <v>1</v>
      </c>
      <c r="I44" t="s">
        <v>449</v>
      </c>
      <c r="J44" t="s">
        <v>502</v>
      </c>
      <c r="K44" t="s">
        <v>459</v>
      </c>
      <c r="L44" s="1"/>
      <c r="M44" s="1"/>
    </row>
    <row r="45" spans="1:13" x14ac:dyDescent="0.2">
      <c r="A45" s="1" t="s">
        <v>47</v>
      </c>
      <c r="B45" s="1">
        <v>0.97640000000000005</v>
      </c>
      <c r="C45" s="1">
        <v>1.18E-2</v>
      </c>
      <c r="D45" s="1">
        <v>1.18E-2</v>
      </c>
      <c r="E45" s="1">
        <f>C45/D45</f>
        <v>1</v>
      </c>
      <c r="F45" s="1" t="str">
        <f>IF(B45&lt;0.7,"True","False")</f>
        <v>False</v>
      </c>
      <c r="G45" s="1" t="b">
        <f>IF(OR(E45&gt;1.5,E45&lt;0.5),TRUE,FALSE)</f>
        <v>0</v>
      </c>
      <c r="H45" s="1" t="b">
        <f>IF(AND(E45&lt;1.5,E45&gt;0.5),TRUE,FALSE)</f>
        <v>1</v>
      </c>
      <c r="I45" t="s">
        <v>449</v>
      </c>
      <c r="J45" t="s">
        <v>503</v>
      </c>
      <c r="K45" t="s">
        <v>459</v>
      </c>
      <c r="L45" s="1"/>
      <c r="M45" s="1"/>
    </row>
    <row r="46" spans="1:13" x14ac:dyDescent="0.2">
      <c r="A46" s="1" t="s">
        <v>48</v>
      </c>
      <c r="B46" s="1">
        <v>0.23960000000000001</v>
      </c>
      <c r="C46" s="1">
        <v>9.2999999999999992E-3</v>
      </c>
      <c r="D46" s="1">
        <v>0.75109999999999999</v>
      </c>
      <c r="E46" s="1">
        <f>C46/D46</f>
        <v>1.2381839968046864E-2</v>
      </c>
      <c r="F46" s="1" t="str">
        <f>IF(B46&lt;0.7,"True","False")</f>
        <v>True</v>
      </c>
      <c r="G46" s="1" t="b">
        <f>IF(OR(E46&gt;1.5,E46&lt;0.5),TRUE,FALSE)</f>
        <v>1</v>
      </c>
      <c r="H46" s="1" t="b">
        <f>IF(AND(E46&lt;1.5,E46&gt;0.5),TRUE,FALSE)</f>
        <v>0</v>
      </c>
      <c r="I46" t="s">
        <v>450</v>
      </c>
      <c r="J46" t="s">
        <v>504</v>
      </c>
      <c r="K46" t="s">
        <v>468</v>
      </c>
      <c r="L46" s="1"/>
      <c r="M46" s="1"/>
    </row>
    <row r="47" spans="1:13" x14ac:dyDescent="0.2">
      <c r="A47" s="1" t="s">
        <v>49</v>
      </c>
      <c r="B47" s="1">
        <v>0.45</v>
      </c>
      <c r="C47" s="1">
        <v>1.49E-2</v>
      </c>
      <c r="D47" s="1">
        <v>0.53510000000000002</v>
      </c>
      <c r="E47" s="1">
        <f>C47/D47</f>
        <v>2.7845262567744347E-2</v>
      </c>
      <c r="F47" s="1" t="str">
        <f>IF(B47&lt;0.7,"True","False")</f>
        <v>True</v>
      </c>
      <c r="G47" s="1" t="b">
        <f>IF(OR(E47&gt;1.5,E47&lt;0.5),TRUE,FALSE)</f>
        <v>1</v>
      </c>
      <c r="H47" s="1" t="b">
        <f>IF(AND(E47&lt;1.5,E47&gt;0.5),TRUE,FALSE)</f>
        <v>0</v>
      </c>
      <c r="I47" t="s">
        <v>450</v>
      </c>
      <c r="J47" t="s">
        <v>505</v>
      </c>
      <c r="K47" t="s">
        <v>468</v>
      </c>
      <c r="L47" s="1"/>
      <c r="M47" s="1"/>
    </row>
    <row r="48" spans="1:13" x14ac:dyDescent="0.2">
      <c r="A48" s="1" t="s">
        <v>50</v>
      </c>
      <c r="B48" s="1">
        <v>0.99299999999999999</v>
      </c>
      <c r="C48" s="1">
        <v>3.5000000000000001E-3</v>
      </c>
      <c r="D48" s="1">
        <v>3.5000000000000001E-3</v>
      </c>
      <c r="E48" s="1">
        <f>C48/D48</f>
        <v>1</v>
      </c>
      <c r="F48" s="1" t="str">
        <f>IF(B48&lt;0.7,"True","False")</f>
        <v>False</v>
      </c>
      <c r="G48" s="1" t="b">
        <f>IF(OR(E48&gt;1.5,E48&lt;0.5),TRUE,FALSE)</f>
        <v>0</v>
      </c>
      <c r="H48" s="1" t="b">
        <f>IF(AND(E48&lt;1.5,E48&gt;0.5),TRUE,FALSE)</f>
        <v>1</v>
      </c>
      <c r="I48" t="s">
        <v>449</v>
      </c>
      <c r="J48" t="s">
        <v>506</v>
      </c>
      <c r="K48" t="s">
        <v>459</v>
      </c>
      <c r="L48" s="1"/>
      <c r="M48" s="1"/>
    </row>
    <row r="49" spans="1:13" x14ac:dyDescent="0.2">
      <c r="A49" s="1" t="s">
        <v>51</v>
      </c>
      <c r="B49" s="1">
        <v>0.99580000000000002</v>
      </c>
      <c r="C49" s="1">
        <v>2.0999999999999999E-3</v>
      </c>
      <c r="D49" s="1">
        <v>2.0999999999999999E-3</v>
      </c>
      <c r="E49" s="1">
        <f>C49/D49</f>
        <v>1</v>
      </c>
      <c r="F49" s="1" t="str">
        <f>IF(B49&lt;0.7,"True","False")</f>
        <v>False</v>
      </c>
      <c r="G49" s="1" t="b">
        <f>IF(OR(E49&gt;1.5,E49&lt;0.5),TRUE,FALSE)</f>
        <v>0</v>
      </c>
      <c r="H49" s="1" t="b">
        <f>IF(AND(E49&lt;1.5,E49&gt;0.5),TRUE,FALSE)</f>
        <v>1</v>
      </c>
      <c r="I49" t="s">
        <v>449</v>
      </c>
      <c r="J49" t="s">
        <v>507</v>
      </c>
      <c r="K49" t="s">
        <v>459</v>
      </c>
      <c r="L49" s="1"/>
      <c r="M49" s="1"/>
    </row>
    <row r="50" spans="1:13" x14ac:dyDescent="0.2">
      <c r="A50" s="1" t="s">
        <v>52</v>
      </c>
      <c r="B50" s="1">
        <v>0.29210000000000003</v>
      </c>
      <c r="C50" s="1">
        <v>0.35510000000000003</v>
      </c>
      <c r="D50" s="1">
        <v>0.3528</v>
      </c>
      <c r="E50" s="1">
        <f>C50/D50</f>
        <v>1.0065192743764173</v>
      </c>
      <c r="F50" s="1" t="str">
        <f>IF(B50&lt;0.7,"True","False")</f>
        <v>True</v>
      </c>
      <c r="G50" s="1" t="b">
        <f>IF(OR(E50&gt;1.5,E50&lt;0.5),TRUE,FALSE)</f>
        <v>0</v>
      </c>
      <c r="H50" s="1" t="b">
        <f>IF(AND(E50&lt;1.5,E50&gt;0.5),TRUE,FALSE)</f>
        <v>1</v>
      </c>
      <c r="I50" t="s">
        <v>449</v>
      </c>
      <c r="J50" t="s">
        <v>508</v>
      </c>
      <c r="K50" t="s">
        <v>459</v>
      </c>
      <c r="L50" s="1"/>
      <c r="M50" s="1"/>
    </row>
    <row r="51" spans="1:13" x14ac:dyDescent="0.2">
      <c r="A51" s="1" t="s">
        <v>53</v>
      </c>
      <c r="B51" s="1">
        <v>0.67700000000000005</v>
      </c>
      <c r="C51" s="1">
        <v>0.16489999999999999</v>
      </c>
      <c r="D51" s="1">
        <v>0.15809999999999999</v>
      </c>
      <c r="E51" s="1">
        <f>C51/D51</f>
        <v>1.043010752688172</v>
      </c>
      <c r="F51" s="1" t="str">
        <f>IF(B51&lt;0.7,"True","False")</f>
        <v>True</v>
      </c>
      <c r="G51" s="1" t="b">
        <f>IF(OR(E51&gt;1.5,E51&lt;0.5),TRUE,FALSE)</f>
        <v>0</v>
      </c>
      <c r="H51" s="1" t="b">
        <f>IF(AND(E51&lt;1.5,E51&gt;0.5),TRUE,FALSE)</f>
        <v>1</v>
      </c>
      <c r="I51" t="s">
        <v>449</v>
      </c>
      <c r="J51" t="s">
        <v>509</v>
      </c>
      <c r="K51" t="s">
        <v>459</v>
      </c>
      <c r="L51" s="1"/>
      <c r="M51" s="1"/>
    </row>
    <row r="52" spans="1:13" x14ac:dyDescent="0.2">
      <c r="A52" s="1" t="s">
        <v>54</v>
      </c>
      <c r="B52" s="1">
        <v>0.99390000000000001</v>
      </c>
      <c r="C52" s="1">
        <v>3.3E-3</v>
      </c>
      <c r="D52" s="1">
        <v>2.8999999999999998E-3</v>
      </c>
      <c r="E52" s="1">
        <f>C52/D52</f>
        <v>1.1379310344827587</v>
      </c>
      <c r="F52" s="1" t="str">
        <f>IF(B52&lt;0.7,"True","False")</f>
        <v>False</v>
      </c>
      <c r="G52" s="1" t="b">
        <f>IF(OR(E52&gt;1.5,E52&lt;0.5),TRUE,FALSE)</f>
        <v>0</v>
      </c>
      <c r="H52" s="1" t="b">
        <f>IF(AND(E52&lt;1.5,E52&gt;0.5),TRUE,FALSE)</f>
        <v>1</v>
      </c>
      <c r="I52" t="s">
        <v>449</v>
      </c>
      <c r="J52" t="s">
        <v>510</v>
      </c>
      <c r="K52" t="s">
        <v>459</v>
      </c>
      <c r="L52" s="1"/>
      <c r="M52" s="1"/>
    </row>
    <row r="53" spans="1:13" x14ac:dyDescent="0.2">
      <c r="A53" s="1" t="s">
        <v>55</v>
      </c>
      <c r="B53" s="1">
        <v>0.68230000000000002</v>
      </c>
      <c r="C53" s="1">
        <v>0.15970000000000001</v>
      </c>
      <c r="D53" s="1">
        <v>0.158</v>
      </c>
      <c r="E53" s="1">
        <f>C53/D53</f>
        <v>1.0107594936708861</v>
      </c>
      <c r="F53" s="1" t="str">
        <f>IF(B53&lt;0.7,"True","False")</f>
        <v>True</v>
      </c>
      <c r="G53" s="1" t="b">
        <f>IF(OR(E53&gt;1.5,E53&lt;0.5),TRUE,FALSE)</f>
        <v>0</v>
      </c>
      <c r="H53" s="1" t="b">
        <f>IF(AND(E53&lt;1.5,E53&gt;0.5),TRUE,FALSE)</f>
        <v>1</v>
      </c>
      <c r="I53" t="s">
        <v>449</v>
      </c>
      <c r="J53" t="s">
        <v>511</v>
      </c>
      <c r="K53" t="s">
        <v>459</v>
      </c>
      <c r="L53" s="1"/>
      <c r="M53" s="1"/>
    </row>
    <row r="54" spans="1:13" x14ac:dyDescent="0.2">
      <c r="A54" s="1" t="s">
        <v>56</v>
      </c>
      <c r="B54" s="1">
        <v>0.9879</v>
      </c>
      <c r="C54" s="1">
        <v>5.7999999999999996E-3</v>
      </c>
      <c r="D54" s="1">
        <v>6.3E-3</v>
      </c>
      <c r="E54" s="1">
        <f>C54/D54</f>
        <v>0.92063492063492058</v>
      </c>
      <c r="F54" s="1" t="str">
        <f>IF(B54&lt;0.7,"True","False")</f>
        <v>False</v>
      </c>
      <c r="G54" s="1" t="b">
        <f>IF(OR(E54&gt;1.5,E54&lt;0.5),TRUE,FALSE)</f>
        <v>0</v>
      </c>
      <c r="H54" s="1" t="b">
        <f>IF(AND(E54&lt;1.5,E54&gt;0.5),TRUE,FALSE)</f>
        <v>1</v>
      </c>
      <c r="I54" t="s">
        <v>449</v>
      </c>
      <c r="J54" t="s">
        <v>512</v>
      </c>
      <c r="K54" t="s">
        <v>459</v>
      </c>
      <c r="L54" s="1"/>
      <c r="M54" s="1"/>
    </row>
    <row r="55" spans="1:13" x14ac:dyDescent="0.2">
      <c r="A55" s="1" t="s">
        <v>57</v>
      </c>
      <c r="B55" s="1">
        <v>0.88629999999999998</v>
      </c>
      <c r="C55" s="1">
        <v>5.7200000000000001E-2</v>
      </c>
      <c r="D55" s="1">
        <v>5.6599999999999998E-2</v>
      </c>
      <c r="E55" s="1">
        <f>C55/D55</f>
        <v>1.010600706713781</v>
      </c>
      <c r="F55" s="1" t="str">
        <f>IF(B55&lt;0.7,"True","False")</f>
        <v>False</v>
      </c>
      <c r="G55" s="1" t="b">
        <f>IF(OR(E55&gt;1.5,E55&lt;0.5),TRUE,FALSE)</f>
        <v>0</v>
      </c>
      <c r="H55" s="1" t="b">
        <f>IF(AND(E55&lt;1.5,E55&gt;0.5),TRUE,FALSE)</f>
        <v>1</v>
      </c>
      <c r="I55" t="s">
        <v>449</v>
      </c>
      <c r="J55" t="s">
        <v>513</v>
      </c>
      <c r="K55" t="s">
        <v>459</v>
      </c>
      <c r="L55" s="1"/>
      <c r="M55" s="1"/>
    </row>
    <row r="56" spans="1:13" x14ac:dyDescent="0.2">
      <c r="A56" s="1" t="s">
        <v>58</v>
      </c>
      <c r="B56" s="1">
        <v>0.77690000000000003</v>
      </c>
      <c r="C56" s="1">
        <v>7.9000000000000008E-3</v>
      </c>
      <c r="D56" s="1">
        <v>0.2152</v>
      </c>
      <c r="E56" s="1">
        <f>C56/D56</f>
        <v>3.671003717472119E-2</v>
      </c>
      <c r="F56" s="1" t="str">
        <f>IF(B56&lt;0.7,"True","False")</f>
        <v>False</v>
      </c>
      <c r="G56" s="1" t="b">
        <f>IF(OR(E56&gt;1.5,E56&lt;0.5),TRUE,FALSE)</f>
        <v>1</v>
      </c>
      <c r="H56" s="1" t="b">
        <f>IF(AND(E56&lt;1.5,E56&gt;0.5),TRUE,FALSE)</f>
        <v>0</v>
      </c>
      <c r="I56" t="s">
        <v>450</v>
      </c>
      <c r="J56" t="s">
        <v>514</v>
      </c>
      <c r="K56" t="s">
        <v>468</v>
      </c>
      <c r="L56" s="1"/>
      <c r="M56" s="1"/>
    </row>
    <row r="57" spans="1:13" x14ac:dyDescent="0.2">
      <c r="A57" s="1" t="s">
        <v>59</v>
      </c>
      <c r="B57" s="1">
        <v>0.77700000000000002</v>
      </c>
      <c r="C57" s="1">
        <v>5.4000000000000003E-3</v>
      </c>
      <c r="D57" s="1">
        <v>0.21759999999999999</v>
      </c>
      <c r="E57" s="1">
        <f>C57/D57</f>
        <v>2.4816176470588237E-2</v>
      </c>
      <c r="F57" s="1" t="str">
        <f>IF(B57&lt;0.7,"True","False")</f>
        <v>False</v>
      </c>
      <c r="G57" s="1" t="b">
        <f>IF(OR(E57&gt;1.5,E57&lt;0.5),TRUE,FALSE)</f>
        <v>1</v>
      </c>
      <c r="H57" s="1" t="b">
        <f>IF(AND(E57&lt;1.5,E57&gt;0.5),TRUE,FALSE)</f>
        <v>0</v>
      </c>
      <c r="I57" t="s">
        <v>450</v>
      </c>
      <c r="J57" t="s">
        <v>515</v>
      </c>
      <c r="K57" t="s">
        <v>468</v>
      </c>
      <c r="L57" s="1"/>
      <c r="M57" s="1"/>
    </row>
    <row r="58" spans="1:13" x14ac:dyDescent="0.2">
      <c r="A58" s="1" t="s">
        <v>60</v>
      </c>
      <c r="B58" s="1">
        <v>0.16719999999999999</v>
      </c>
      <c r="C58" s="1">
        <v>0.41889999999999999</v>
      </c>
      <c r="D58" s="1">
        <v>0.41399999999999998</v>
      </c>
      <c r="E58" s="1">
        <f>C58/D58</f>
        <v>1.0118357487922707</v>
      </c>
      <c r="F58" s="1" t="str">
        <f>IF(B58&lt;0.7,"True","False")</f>
        <v>True</v>
      </c>
      <c r="G58" s="1" t="b">
        <f>IF(OR(E58&gt;1.5,E58&lt;0.5),TRUE,FALSE)</f>
        <v>0</v>
      </c>
      <c r="H58" s="1" t="b">
        <f>IF(AND(E58&lt;1.5,E58&gt;0.5),TRUE,FALSE)</f>
        <v>1</v>
      </c>
      <c r="I58" t="s">
        <v>449</v>
      </c>
      <c r="J58" t="s">
        <v>516</v>
      </c>
      <c r="K58" t="s">
        <v>459</v>
      </c>
      <c r="L58" s="1"/>
      <c r="M58" s="1"/>
    </row>
    <row r="59" spans="1:13" x14ac:dyDescent="0.2">
      <c r="A59" s="1" t="s">
        <v>61</v>
      </c>
      <c r="B59" s="1">
        <v>0.39100000000000001</v>
      </c>
      <c r="C59" s="1">
        <v>0.30780000000000002</v>
      </c>
      <c r="D59" s="1">
        <v>0.30120000000000002</v>
      </c>
      <c r="E59" s="1">
        <f>C59/D59</f>
        <v>1.0219123505976095</v>
      </c>
      <c r="F59" s="1" t="str">
        <f>IF(B59&lt;0.7,"True","False")</f>
        <v>True</v>
      </c>
      <c r="G59" s="1" t="b">
        <f>IF(OR(E59&gt;1.5,E59&lt;0.5),TRUE,FALSE)</f>
        <v>0</v>
      </c>
      <c r="H59" s="1" t="b">
        <f>IF(AND(E59&lt;1.5,E59&gt;0.5),TRUE,FALSE)</f>
        <v>1</v>
      </c>
      <c r="I59" t="s">
        <v>449</v>
      </c>
      <c r="J59" t="s">
        <v>517</v>
      </c>
      <c r="K59" t="s">
        <v>459</v>
      </c>
      <c r="L59" s="1"/>
      <c r="M59" s="1"/>
    </row>
    <row r="60" spans="1:13" x14ac:dyDescent="0.2">
      <c r="A60" s="1" t="s">
        <v>62</v>
      </c>
      <c r="B60" s="1">
        <v>0.81599999999999995</v>
      </c>
      <c r="C60" s="1">
        <v>4.4000000000000003E-3</v>
      </c>
      <c r="D60" s="1">
        <v>0.17949999999999999</v>
      </c>
      <c r="E60" s="1">
        <f>C60/D60</f>
        <v>2.4512534818941507E-2</v>
      </c>
      <c r="F60" s="1" t="str">
        <f>IF(B60&lt;0.7,"True","False")</f>
        <v>False</v>
      </c>
      <c r="G60" s="1" t="b">
        <f>IF(OR(E60&gt;1.5,E60&lt;0.5),TRUE,FALSE)</f>
        <v>1</v>
      </c>
      <c r="H60" s="1" t="b">
        <f>IF(AND(E60&lt;1.5,E60&gt;0.5),TRUE,FALSE)</f>
        <v>0</v>
      </c>
      <c r="I60" t="s">
        <v>450</v>
      </c>
      <c r="J60" t="s">
        <v>518</v>
      </c>
      <c r="K60" t="s">
        <v>468</v>
      </c>
      <c r="L60" s="1"/>
      <c r="M60" s="1"/>
    </row>
    <row r="61" spans="1:13" x14ac:dyDescent="0.2">
      <c r="A61" s="1" t="s">
        <v>63</v>
      </c>
      <c r="B61" s="1">
        <v>0.54169999999999996</v>
      </c>
      <c r="C61" s="1">
        <v>8.2000000000000007E-3</v>
      </c>
      <c r="D61" s="1">
        <v>0.4501</v>
      </c>
      <c r="E61" s="1">
        <f>C61/D61</f>
        <v>1.8218173739169074E-2</v>
      </c>
      <c r="F61" s="1" t="str">
        <f>IF(B61&lt;0.7,"True","False")</f>
        <v>True</v>
      </c>
      <c r="G61" s="1" t="b">
        <f>IF(OR(E61&gt;1.5,E61&lt;0.5),TRUE,FALSE)</f>
        <v>1</v>
      </c>
      <c r="H61" s="1" t="b">
        <f>IF(AND(E61&lt;1.5,E61&gt;0.5),TRUE,FALSE)</f>
        <v>0</v>
      </c>
      <c r="I61" t="s">
        <v>450</v>
      </c>
      <c r="J61" t="s">
        <v>519</v>
      </c>
      <c r="K61" t="s">
        <v>468</v>
      </c>
      <c r="L61" s="1"/>
      <c r="M61" s="1"/>
    </row>
    <row r="62" spans="1:13" x14ac:dyDescent="0.2">
      <c r="A62" s="1" t="s">
        <v>64</v>
      </c>
      <c r="B62" s="1">
        <v>0.64910000000000001</v>
      </c>
      <c r="C62" s="1">
        <v>0.1772</v>
      </c>
      <c r="D62" s="1">
        <v>0.17380000000000001</v>
      </c>
      <c r="E62" s="1">
        <f>C62/D62</f>
        <v>1.0195627157652474</v>
      </c>
      <c r="F62" s="1" t="str">
        <f>IF(B62&lt;0.7,"True","False")</f>
        <v>True</v>
      </c>
      <c r="G62" s="1" t="b">
        <f>IF(OR(E62&gt;1.5,E62&lt;0.5),TRUE,FALSE)</f>
        <v>0</v>
      </c>
      <c r="H62" s="1" t="b">
        <f>IF(AND(E62&lt;1.5,E62&gt;0.5),TRUE,FALSE)</f>
        <v>1</v>
      </c>
      <c r="I62" t="s">
        <v>449</v>
      </c>
      <c r="J62" t="s">
        <v>520</v>
      </c>
      <c r="K62" t="s">
        <v>459</v>
      </c>
      <c r="L62" s="1"/>
      <c r="M62" s="1"/>
    </row>
    <row r="63" spans="1:13" x14ac:dyDescent="0.2">
      <c r="A63" s="1" t="s">
        <v>65</v>
      </c>
      <c r="B63" s="1">
        <v>0.50170000000000003</v>
      </c>
      <c r="C63" s="1">
        <v>0.25219999999999998</v>
      </c>
      <c r="D63" s="1">
        <v>0.24610000000000001</v>
      </c>
      <c r="E63" s="1">
        <f>C63/D63</f>
        <v>1.0247866720845185</v>
      </c>
      <c r="F63" s="1" t="str">
        <f>IF(B63&lt;0.7,"True","False")</f>
        <v>True</v>
      </c>
      <c r="G63" s="1" t="b">
        <f>IF(OR(E63&gt;1.5,E63&lt;0.5),TRUE,FALSE)</f>
        <v>0</v>
      </c>
      <c r="H63" s="1" t="b">
        <f>IF(AND(E63&lt;1.5,E63&gt;0.5),TRUE,FALSE)</f>
        <v>1</v>
      </c>
      <c r="I63" t="s">
        <v>449</v>
      </c>
      <c r="J63" t="s">
        <v>521</v>
      </c>
      <c r="K63" t="s">
        <v>459</v>
      </c>
      <c r="L63" s="1"/>
      <c r="M63" s="1"/>
    </row>
    <row r="64" spans="1:13" x14ac:dyDescent="0.2">
      <c r="A64" s="1" t="s">
        <v>66</v>
      </c>
      <c r="B64" s="1">
        <v>0.997</v>
      </c>
      <c r="C64" s="1">
        <v>1.6000000000000001E-3</v>
      </c>
      <c r="D64" s="1">
        <v>1.4E-3</v>
      </c>
      <c r="E64" s="1">
        <f>C64/D64</f>
        <v>1.142857142857143</v>
      </c>
      <c r="F64" s="1" t="str">
        <f>IF(B64&lt;0.7,"True","False")</f>
        <v>False</v>
      </c>
      <c r="G64" s="1" t="b">
        <f>IF(OR(E64&gt;1.5,E64&lt;0.5),TRUE,FALSE)</f>
        <v>0</v>
      </c>
      <c r="H64" s="1" t="b">
        <f>IF(AND(E64&lt;1.5,E64&gt;0.5),TRUE,FALSE)</f>
        <v>1</v>
      </c>
      <c r="I64" t="s">
        <v>449</v>
      </c>
      <c r="J64" t="s">
        <v>522</v>
      </c>
      <c r="K64" t="s">
        <v>459</v>
      </c>
      <c r="L64" s="1"/>
      <c r="M64" s="1"/>
    </row>
    <row r="65" spans="1:13" x14ac:dyDescent="0.2">
      <c r="A65" s="1" t="s">
        <v>67</v>
      </c>
      <c r="B65" s="1">
        <v>0.56299999999999994</v>
      </c>
      <c r="C65" s="1">
        <v>0.22040000000000001</v>
      </c>
      <c r="D65" s="1">
        <v>0.2167</v>
      </c>
      <c r="E65" s="1">
        <f>C65/D65</f>
        <v>1.0170742962621135</v>
      </c>
      <c r="F65" s="1" t="str">
        <f>IF(B65&lt;0.7,"True","False")</f>
        <v>True</v>
      </c>
      <c r="G65" s="1" t="b">
        <f>IF(OR(E65&gt;1.5,E65&lt;0.5),TRUE,FALSE)</f>
        <v>0</v>
      </c>
      <c r="H65" s="1" t="b">
        <f>IF(AND(E65&lt;1.5,E65&gt;0.5),TRUE,FALSE)</f>
        <v>1</v>
      </c>
      <c r="I65" t="s">
        <v>449</v>
      </c>
      <c r="J65" t="s">
        <v>523</v>
      </c>
      <c r="K65" t="s">
        <v>459</v>
      </c>
      <c r="L65" s="1"/>
      <c r="M65" s="1"/>
    </row>
    <row r="66" spans="1:13" x14ac:dyDescent="0.2">
      <c r="A66" s="1" t="s">
        <v>68</v>
      </c>
      <c r="B66" s="1">
        <v>0.21310000000000001</v>
      </c>
      <c r="C66" s="1">
        <v>0.3962</v>
      </c>
      <c r="D66" s="1">
        <v>0.39069999999999999</v>
      </c>
      <c r="E66" s="1">
        <f>C66/D66</f>
        <v>1.0140772971589456</v>
      </c>
      <c r="F66" s="1" t="str">
        <f>IF(B66&lt;0.7,"True","False")</f>
        <v>True</v>
      </c>
      <c r="G66" s="1" t="b">
        <f>IF(OR(E66&gt;1.5,E66&lt;0.5),TRUE,FALSE)</f>
        <v>0</v>
      </c>
      <c r="H66" s="1" t="b">
        <f>IF(AND(E66&lt;1.5,E66&gt;0.5),TRUE,FALSE)</f>
        <v>1</v>
      </c>
      <c r="I66" t="s">
        <v>449</v>
      </c>
      <c r="J66" t="s">
        <v>524</v>
      </c>
      <c r="K66" t="s">
        <v>459</v>
      </c>
      <c r="L66" s="1"/>
      <c r="M66" s="1"/>
    </row>
    <row r="67" spans="1:13" x14ac:dyDescent="0.2">
      <c r="A67" s="1" t="s">
        <v>69</v>
      </c>
      <c r="B67" s="1">
        <v>0.36599999999999999</v>
      </c>
      <c r="C67" s="1">
        <v>0.31869999999999998</v>
      </c>
      <c r="D67" s="1">
        <v>0.31530000000000002</v>
      </c>
      <c r="E67" s="1">
        <f>C67/D67</f>
        <v>1.0107833809070725</v>
      </c>
      <c r="F67" s="1" t="str">
        <f>IF(B67&lt;0.7,"True","False")</f>
        <v>True</v>
      </c>
      <c r="G67" s="1" t="b">
        <f>IF(OR(E67&gt;1.5,E67&lt;0.5),TRUE,FALSE)</f>
        <v>0</v>
      </c>
      <c r="H67" s="1" t="b">
        <f>IF(AND(E67&lt;1.5,E67&gt;0.5),TRUE,FALSE)</f>
        <v>1</v>
      </c>
      <c r="I67" t="s">
        <v>449</v>
      </c>
      <c r="J67" t="s">
        <v>525</v>
      </c>
      <c r="K67" t="s">
        <v>459</v>
      </c>
      <c r="L67" s="1"/>
      <c r="M67" s="1"/>
    </row>
    <row r="68" spans="1:13" x14ac:dyDescent="0.2">
      <c r="A68" s="1" t="s">
        <v>70</v>
      </c>
      <c r="B68" s="1">
        <v>0.99139999999999995</v>
      </c>
      <c r="C68" s="1">
        <v>6.6E-3</v>
      </c>
      <c r="D68" s="1">
        <v>2.0999999999999999E-3</v>
      </c>
      <c r="E68" s="1">
        <f>C68/D68</f>
        <v>3.1428571428571432</v>
      </c>
      <c r="F68" s="1" t="str">
        <f>IF(B68&lt;0.7,"True","False")</f>
        <v>False</v>
      </c>
      <c r="G68" s="1" t="b">
        <f>IF(OR(E68&gt;1.5,E68&lt;0.5),TRUE,FALSE)</f>
        <v>1</v>
      </c>
      <c r="H68" s="1" t="b">
        <f>IF(AND(E68&lt;1.5,E68&gt;0.5),TRUE,FALSE)</f>
        <v>0</v>
      </c>
      <c r="I68" t="s">
        <v>450</v>
      </c>
      <c r="J68" t="s">
        <v>526</v>
      </c>
      <c r="K68" t="s">
        <v>468</v>
      </c>
      <c r="L68" s="1"/>
      <c r="M68" s="1"/>
    </row>
    <row r="69" spans="1:13" x14ac:dyDescent="0.2">
      <c r="A69" s="1" t="s">
        <v>71</v>
      </c>
      <c r="B69" s="1">
        <v>0.99629999999999996</v>
      </c>
      <c r="C69" s="1">
        <v>6.9999999999999999E-4</v>
      </c>
      <c r="D69" s="1">
        <v>3.0000000000000001E-3</v>
      </c>
      <c r="E69" s="1">
        <f>C69/D69</f>
        <v>0.23333333333333334</v>
      </c>
      <c r="F69" s="1" t="str">
        <f>IF(B69&lt;0.7,"True","False")</f>
        <v>False</v>
      </c>
      <c r="G69" s="1" t="b">
        <f>IF(OR(E69&gt;1.5,E69&lt;0.5),TRUE,FALSE)</f>
        <v>1</v>
      </c>
      <c r="H69" s="1" t="b">
        <f>IF(AND(E69&lt;1.5,E69&gt;0.5),TRUE,FALSE)</f>
        <v>0</v>
      </c>
      <c r="I69" t="s">
        <v>450</v>
      </c>
      <c r="J69" t="s">
        <v>527</v>
      </c>
      <c r="K69" t="s">
        <v>468</v>
      </c>
      <c r="L69" s="1"/>
      <c r="M69" s="1"/>
    </row>
    <row r="70" spans="1:13" x14ac:dyDescent="0.2">
      <c r="A70" s="1" t="s">
        <v>72</v>
      </c>
      <c r="B70" s="1">
        <v>0.7792</v>
      </c>
      <c r="C70" s="1">
        <v>0.11070000000000001</v>
      </c>
      <c r="D70" s="1">
        <v>0.1101</v>
      </c>
      <c r="E70" s="1">
        <f>C70/D70</f>
        <v>1.005449591280654</v>
      </c>
      <c r="F70" s="1" t="str">
        <f>IF(B70&lt;0.7,"True","False")</f>
        <v>False</v>
      </c>
      <c r="G70" s="1" t="b">
        <f>IF(OR(E70&gt;1.5,E70&lt;0.5),TRUE,FALSE)</f>
        <v>0</v>
      </c>
      <c r="H70" s="1" t="b">
        <f>IF(AND(E70&lt;1.5,E70&gt;0.5),TRUE,FALSE)</f>
        <v>1</v>
      </c>
      <c r="I70" t="s">
        <v>449</v>
      </c>
      <c r="J70" t="s">
        <v>528</v>
      </c>
      <c r="K70" t="s">
        <v>459</v>
      </c>
      <c r="L70" s="1"/>
      <c r="M70" s="1"/>
    </row>
    <row r="71" spans="1:13" x14ac:dyDescent="0.2">
      <c r="A71" s="1" t="s">
        <v>73</v>
      </c>
      <c r="B71" s="1">
        <v>0.99529999999999996</v>
      </c>
      <c r="C71" s="1">
        <v>2.3999999999999998E-3</v>
      </c>
      <c r="D71" s="1">
        <v>2.3E-3</v>
      </c>
      <c r="E71" s="1">
        <f>C71/D71</f>
        <v>1.0434782608695652</v>
      </c>
      <c r="F71" s="1" t="str">
        <f>IF(B71&lt;0.7,"True","False")</f>
        <v>False</v>
      </c>
      <c r="G71" s="1" t="b">
        <f>IF(OR(E71&gt;1.5,E71&lt;0.5),TRUE,FALSE)</f>
        <v>0</v>
      </c>
      <c r="H71" s="1" t="b">
        <f>IF(AND(E71&lt;1.5,E71&gt;0.5),TRUE,FALSE)</f>
        <v>1</v>
      </c>
      <c r="I71" t="s">
        <v>449</v>
      </c>
      <c r="J71" t="s">
        <v>529</v>
      </c>
      <c r="K71" t="s">
        <v>459</v>
      </c>
      <c r="L71" s="1"/>
      <c r="M71" s="1"/>
    </row>
    <row r="72" spans="1:13" x14ac:dyDescent="0.2">
      <c r="A72" s="1" t="s">
        <v>74</v>
      </c>
      <c r="B72" s="1">
        <v>0.3054</v>
      </c>
      <c r="C72" s="1">
        <v>0.3493</v>
      </c>
      <c r="D72" s="1">
        <v>0.3453</v>
      </c>
      <c r="E72" s="1">
        <f>C72/D72</f>
        <v>1.0115841297422532</v>
      </c>
      <c r="F72" s="1" t="str">
        <f>IF(B72&lt;0.7,"True","False")</f>
        <v>True</v>
      </c>
      <c r="G72" s="1" t="b">
        <f>IF(OR(E72&gt;1.5,E72&lt;0.5),TRUE,FALSE)</f>
        <v>0</v>
      </c>
      <c r="H72" s="1" t="b">
        <f>IF(AND(E72&lt;1.5,E72&gt;0.5),TRUE,FALSE)</f>
        <v>1</v>
      </c>
      <c r="I72" t="s">
        <v>449</v>
      </c>
      <c r="J72" t="s">
        <v>530</v>
      </c>
      <c r="K72" t="s">
        <v>459</v>
      </c>
      <c r="L72" s="1"/>
      <c r="M72" s="1"/>
    </row>
    <row r="73" spans="1:13" x14ac:dyDescent="0.2">
      <c r="A73" s="1" t="s">
        <v>75</v>
      </c>
      <c r="B73" s="1">
        <v>0.31580000000000003</v>
      </c>
      <c r="C73" s="1">
        <v>0.34560000000000002</v>
      </c>
      <c r="D73" s="1">
        <v>0.33860000000000001</v>
      </c>
      <c r="E73" s="1">
        <f>C73/D73</f>
        <v>1.0206733608978145</v>
      </c>
      <c r="F73" s="1" t="str">
        <f>IF(B73&lt;0.7,"True","False")</f>
        <v>True</v>
      </c>
      <c r="G73" s="1" t="b">
        <f>IF(OR(E73&gt;1.5,E73&lt;0.5),TRUE,FALSE)</f>
        <v>0</v>
      </c>
      <c r="H73" s="1" t="b">
        <f>IF(AND(E73&lt;1.5,E73&gt;0.5),TRUE,FALSE)</f>
        <v>1</v>
      </c>
      <c r="I73" t="s">
        <v>449</v>
      </c>
      <c r="J73" t="s">
        <v>531</v>
      </c>
      <c r="K73" t="s">
        <v>459</v>
      </c>
      <c r="L73" s="1"/>
      <c r="M73" s="1"/>
    </row>
    <row r="74" spans="1:13" x14ac:dyDescent="0.2">
      <c r="A74" s="1" t="s">
        <v>76</v>
      </c>
      <c r="B74" s="1">
        <v>0.99429999999999996</v>
      </c>
      <c r="C74" s="1">
        <v>3.5999999999999999E-3</v>
      </c>
      <c r="D74" s="1">
        <v>2.0999999999999999E-3</v>
      </c>
      <c r="E74" s="1">
        <f>C74/D74</f>
        <v>1.7142857142857144</v>
      </c>
      <c r="F74" s="1" t="str">
        <f>IF(B74&lt;0.7,"True","False")</f>
        <v>False</v>
      </c>
      <c r="G74" s="1" t="b">
        <f>IF(OR(E74&gt;1.5,E74&lt;0.5),TRUE,FALSE)</f>
        <v>1</v>
      </c>
      <c r="H74" s="1" t="b">
        <f>IF(AND(E74&lt;1.5,E74&gt;0.5),TRUE,FALSE)</f>
        <v>0</v>
      </c>
      <c r="I74" t="s">
        <v>450</v>
      </c>
      <c r="J74" t="s">
        <v>532</v>
      </c>
      <c r="K74" t="s">
        <v>468</v>
      </c>
      <c r="L74" s="1"/>
      <c r="M74" s="1"/>
    </row>
    <row r="75" spans="1:13" x14ac:dyDescent="0.2">
      <c r="A75" s="1" t="s">
        <v>77</v>
      </c>
      <c r="B75" s="1">
        <v>0.99070000000000003</v>
      </c>
      <c r="C75" s="1">
        <v>8.8999999999999999E-3</v>
      </c>
      <c r="D75" s="1">
        <v>4.0000000000000002E-4</v>
      </c>
      <c r="E75" s="1">
        <f>C75/D75</f>
        <v>22.25</v>
      </c>
      <c r="F75" s="1" t="str">
        <f>IF(B75&lt;0.7,"True","False")</f>
        <v>False</v>
      </c>
      <c r="G75" s="1" t="b">
        <f>IF(OR(E75&gt;1.5,E75&lt;0.5),TRUE,FALSE)</f>
        <v>1</v>
      </c>
      <c r="H75" s="1" t="b">
        <f>IF(AND(E75&lt;1.5,E75&gt;0.5),TRUE,FALSE)</f>
        <v>0</v>
      </c>
      <c r="I75" t="s">
        <v>450</v>
      </c>
      <c r="J75" t="s">
        <v>533</v>
      </c>
      <c r="K75" t="s">
        <v>468</v>
      </c>
      <c r="L75" s="1"/>
      <c r="M75" s="1"/>
    </row>
    <row r="76" spans="1:13" x14ac:dyDescent="0.2">
      <c r="A76" s="1" t="s">
        <v>78</v>
      </c>
      <c r="B76" s="1">
        <v>0.98650000000000004</v>
      </c>
      <c r="C76" s="1">
        <v>7.0000000000000001E-3</v>
      </c>
      <c r="D76" s="1">
        <v>6.4999999999999997E-3</v>
      </c>
      <c r="E76" s="1">
        <f>C76/D76</f>
        <v>1.0769230769230771</v>
      </c>
      <c r="F76" s="1" t="str">
        <f>IF(B76&lt;0.7,"True","False")</f>
        <v>False</v>
      </c>
      <c r="G76" s="1" t="b">
        <f>IF(OR(E76&gt;1.5,E76&lt;0.5),TRUE,FALSE)</f>
        <v>0</v>
      </c>
      <c r="H76" s="1" t="b">
        <f>IF(AND(E76&lt;1.5,E76&gt;0.5),TRUE,FALSE)</f>
        <v>1</v>
      </c>
      <c r="I76" t="s">
        <v>449</v>
      </c>
      <c r="J76" t="s">
        <v>534</v>
      </c>
      <c r="K76" t="s">
        <v>459</v>
      </c>
      <c r="L76" s="1"/>
      <c r="M76" s="1"/>
    </row>
    <row r="77" spans="1:13" x14ac:dyDescent="0.2">
      <c r="A77" s="1" t="s">
        <v>79</v>
      </c>
      <c r="B77" s="1">
        <v>0.42670000000000002</v>
      </c>
      <c r="C77" s="1">
        <v>0.28810000000000002</v>
      </c>
      <c r="D77" s="1">
        <v>0.28520000000000001</v>
      </c>
      <c r="E77" s="1">
        <f>C77/D77</f>
        <v>1.0101683029453017</v>
      </c>
      <c r="F77" s="1" t="str">
        <f>IF(B77&lt;0.7,"True","False")</f>
        <v>True</v>
      </c>
      <c r="G77" s="1" t="b">
        <f>IF(OR(E77&gt;1.5,E77&lt;0.5),TRUE,FALSE)</f>
        <v>0</v>
      </c>
      <c r="H77" s="1" t="b">
        <f>IF(AND(E77&lt;1.5,E77&gt;0.5),TRUE,FALSE)</f>
        <v>1</v>
      </c>
      <c r="I77" t="s">
        <v>449</v>
      </c>
      <c r="J77" t="s">
        <v>535</v>
      </c>
      <c r="K77" t="s">
        <v>459</v>
      </c>
      <c r="L77" s="1"/>
      <c r="M77" s="1"/>
    </row>
    <row r="78" spans="1:13" x14ac:dyDescent="0.2">
      <c r="A78" s="1" t="s">
        <v>80</v>
      </c>
      <c r="B78" s="1">
        <v>0.22439999999999999</v>
      </c>
      <c r="C78" s="1">
        <v>0.39019999999999999</v>
      </c>
      <c r="D78" s="1">
        <v>0.38550000000000001</v>
      </c>
      <c r="E78" s="1">
        <f>C78/D78</f>
        <v>1.0121919584954604</v>
      </c>
      <c r="F78" s="1" t="str">
        <f>IF(B78&lt;0.7,"True","False")</f>
        <v>True</v>
      </c>
      <c r="G78" s="1" t="b">
        <f>IF(OR(E78&gt;1.5,E78&lt;0.5),TRUE,FALSE)</f>
        <v>0</v>
      </c>
      <c r="H78" s="1" t="b">
        <f>IF(AND(E78&lt;1.5,E78&gt;0.5),TRUE,FALSE)</f>
        <v>1</v>
      </c>
      <c r="I78" t="s">
        <v>449</v>
      </c>
      <c r="J78" t="s">
        <v>536</v>
      </c>
      <c r="K78" t="s">
        <v>459</v>
      </c>
      <c r="L78" s="1"/>
      <c r="M78" s="1"/>
    </row>
    <row r="79" spans="1:13" x14ac:dyDescent="0.2">
      <c r="A79" s="1" t="s">
        <v>81</v>
      </c>
      <c r="B79" s="1">
        <v>0.72</v>
      </c>
      <c r="C79" s="1">
        <v>0.14069999999999999</v>
      </c>
      <c r="D79" s="1">
        <v>0.13919999999999999</v>
      </c>
      <c r="E79" s="1">
        <f>C79/D79</f>
        <v>1.0107758620689655</v>
      </c>
      <c r="F79" s="1" t="str">
        <f>IF(B79&lt;0.7,"True","False")</f>
        <v>False</v>
      </c>
      <c r="G79" s="1" t="b">
        <f>IF(OR(E79&gt;1.5,E79&lt;0.5),TRUE,FALSE)</f>
        <v>0</v>
      </c>
      <c r="H79" s="1" t="b">
        <f>IF(AND(E79&lt;1.5,E79&gt;0.5),TRUE,FALSE)</f>
        <v>1</v>
      </c>
      <c r="I79" t="s">
        <v>449</v>
      </c>
      <c r="J79" t="s">
        <v>537</v>
      </c>
      <c r="K79" t="s">
        <v>459</v>
      </c>
      <c r="L79" s="1"/>
      <c r="M79" s="1"/>
    </row>
    <row r="80" spans="1:13" x14ac:dyDescent="0.2">
      <c r="A80" s="1" t="s">
        <v>82</v>
      </c>
      <c r="B80" s="1">
        <v>0.97629999999999995</v>
      </c>
      <c r="C80" s="1">
        <v>1.1299999999999999E-2</v>
      </c>
      <c r="D80" s="1">
        <v>1.24E-2</v>
      </c>
      <c r="E80" s="1">
        <f>C80/D80</f>
        <v>0.91129032258064513</v>
      </c>
      <c r="F80" s="1" t="str">
        <f>IF(B80&lt;0.7,"True","False")</f>
        <v>False</v>
      </c>
      <c r="G80" s="1" t="b">
        <f>IF(OR(E80&gt;1.5,E80&lt;0.5),TRUE,FALSE)</f>
        <v>0</v>
      </c>
      <c r="H80" s="1" t="b">
        <f>IF(AND(E80&lt;1.5,E80&gt;0.5),TRUE,FALSE)</f>
        <v>1</v>
      </c>
      <c r="I80" t="s">
        <v>449</v>
      </c>
      <c r="J80" t="s">
        <v>538</v>
      </c>
      <c r="K80" t="s">
        <v>459</v>
      </c>
      <c r="L80" s="1"/>
      <c r="M80" s="1"/>
    </row>
    <row r="81" spans="1:13" x14ac:dyDescent="0.2">
      <c r="A81" s="1" t="s">
        <v>83</v>
      </c>
      <c r="B81" s="1">
        <v>0.4395</v>
      </c>
      <c r="C81" s="1">
        <v>0.28299999999999997</v>
      </c>
      <c r="D81" s="1">
        <v>0.27750000000000002</v>
      </c>
      <c r="E81" s="1">
        <f>C81/D81</f>
        <v>1.0198198198198196</v>
      </c>
      <c r="F81" s="1" t="str">
        <f>IF(B81&lt;0.7,"True","False")</f>
        <v>True</v>
      </c>
      <c r="G81" s="1" t="b">
        <f>IF(OR(E81&gt;1.5,E81&lt;0.5),TRUE,FALSE)</f>
        <v>0</v>
      </c>
      <c r="H81" s="1" t="b">
        <f>IF(AND(E81&lt;1.5,E81&gt;0.5),TRUE,FALSE)</f>
        <v>1</v>
      </c>
      <c r="I81" t="s">
        <v>449</v>
      </c>
      <c r="J81" t="s">
        <v>539</v>
      </c>
      <c r="K81" t="s">
        <v>459</v>
      </c>
      <c r="L81" s="1"/>
      <c r="M81" s="1"/>
    </row>
    <row r="82" spans="1:13" x14ac:dyDescent="0.2">
      <c r="A82" s="1" t="s">
        <v>84</v>
      </c>
      <c r="B82" s="1">
        <v>0.52559999999999996</v>
      </c>
      <c r="C82" s="1">
        <v>0.24079999999999999</v>
      </c>
      <c r="D82" s="1">
        <v>0.2336</v>
      </c>
      <c r="E82" s="1">
        <f>C82/D82</f>
        <v>1.0308219178082192</v>
      </c>
      <c r="F82" s="1" t="str">
        <f>IF(B82&lt;0.7,"True","False")</f>
        <v>True</v>
      </c>
      <c r="G82" s="1" t="b">
        <f>IF(OR(E82&gt;1.5,E82&lt;0.5),TRUE,FALSE)</f>
        <v>0</v>
      </c>
      <c r="H82" s="1" t="b">
        <f>IF(AND(E82&lt;1.5,E82&gt;0.5),TRUE,FALSE)</f>
        <v>1</v>
      </c>
      <c r="I82" t="s">
        <v>449</v>
      </c>
      <c r="J82" t="s">
        <v>540</v>
      </c>
      <c r="K82" t="s">
        <v>459</v>
      </c>
      <c r="L82" s="1"/>
      <c r="M82" s="1"/>
    </row>
    <row r="83" spans="1:13" x14ac:dyDescent="0.2">
      <c r="A83" s="1" t="s">
        <v>85</v>
      </c>
      <c r="B83" s="1">
        <v>0.76459999999999995</v>
      </c>
      <c r="C83" s="1">
        <v>0.11609999999999999</v>
      </c>
      <c r="D83" s="1">
        <v>0.1193</v>
      </c>
      <c r="E83" s="1">
        <f>C83/D83</f>
        <v>0.97317686504610224</v>
      </c>
      <c r="F83" s="1" t="str">
        <f>IF(B83&lt;0.7,"True","False")</f>
        <v>False</v>
      </c>
      <c r="G83" s="1" t="b">
        <f>IF(OR(E83&gt;1.5,E83&lt;0.5),TRUE,FALSE)</f>
        <v>0</v>
      </c>
      <c r="H83" s="1" t="b">
        <f>IF(AND(E83&lt;1.5,E83&gt;0.5),TRUE,FALSE)</f>
        <v>1</v>
      </c>
      <c r="I83" t="s">
        <v>449</v>
      </c>
      <c r="J83" t="s">
        <v>541</v>
      </c>
      <c r="K83" t="s">
        <v>459</v>
      </c>
      <c r="L83" s="1"/>
      <c r="M83" s="1"/>
    </row>
    <row r="84" spans="1:13" x14ac:dyDescent="0.2">
      <c r="A84" s="1" t="s">
        <v>86</v>
      </c>
      <c r="B84" s="1">
        <v>0.99250000000000005</v>
      </c>
      <c r="C84" s="1">
        <v>3.8999999999999998E-3</v>
      </c>
      <c r="D84" s="1">
        <v>3.5999999999999999E-3</v>
      </c>
      <c r="E84" s="1">
        <f>C84/D84</f>
        <v>1.0833333333333333</v>
      </c>
      <c r="F84" s="1" t="str">
        <f>IF(B84&lt;0.7,"True","False")</f>
        <v>False</v>
      </c>
      <c r="G84" s="1" t="b">
        <f>IF(OR(E84&gt;1.5,E84&lt;0.5),TRUE,FALSE)</f>
        <v>0</v>
      </c>
      <c r="H84" s="1" t="b">
        <f>IF(AND(E84&lt;1.5,E84&gt;0.5),TRUE,FALSE)</f>
        <v>1</v>
      </c>
      <c r="I84" t="s">
        <v>449</v>
      </c>
      <c r="J84" t="s">
        <v>542</v>
      </c>
      <c r="K84" t="s">
        <v>459</v>
      </c>
      <c r="L84" s="1"/>
      <c r="M84" s="1"/>
    </row>
    <row r="85" spans="1:13" x14ac:dyDescent="0.2">
      <c r="A85" s="1" t="s">
        <v>87</v>
      </c>
      <c r="B85" s="1">
        <v>0.34</v>
      </c>
      <c r="C85" s="1">
        <v>0.33239999999999997</v>
      </c>
      <c r="D85" s="1">
        <v>0.32750000000000001</v>
      </c>
      <c r="E85" s="1">
        <f>C85/D85</f>
        <v>1.0149618320610685</v>
      </c>
      <c r="F85" s="1" t="str">
        <f>IF(B85&lt;0.7,"True","False")</f>
        <v>True</v>
      </c>
      <c r="G85" s="1" t="b">
        <f>IF(OR(E85&gt;1.5,E85&lt;0.5),TRUE,FALSE)</f>
        <v>0</v>
      </c>
      <c r="H85" s="1" t="b">
        <f>IF(AND(E85&lt;1.5,E85&gt;0.5),TRUE,FALSE)</f>
        <v>1</v>
      </c>
      <c r="I85" t="s">
        <v>449</v>
      </c>
      <c r="J85" t="s">
        <v>543</v>
      </c>
      <c r="K85" t="s">
        <v>459</v>
      </c>
      <c r="L85" s="1"/>
      <c r="M85" s="1"/>
    </row>
    <row r="86" spans="1:13" x14ac:dyDescent="0.2">
      <c r="A86" s="1" t="s">
        <v>88</v>
      </c>
      <c r="B86" s="1">
        <v>0.38740000000000002</v>
      </c>
      <c r="C86" s="1">
        <v>0.30959999999999999</v>
      </c>
      <c r="D86" s="1">
        <v>0.30299999999999999</v>
      </c>
      <c r="E86" s="1">
        <f>C86/D86</f>
        <v>1.0217821782178218</v>
      </c>
      <c r="F86" s="1" t="str">
        <f>IF(B86&lt;0.7,"True","False")</f>
        <v>True</v>
      </c>
      <c r="G86" s="1" t="b">
        <f>IF(OR(E86&gt;1.5,E86&lt;0.5),TRUE,FALSE)</f>
        <v>0</v>
      </c>
      <c r="H86" s="1" t="b">
        <f>IF(AND(E86&lt;1.5,E86&gt;0.5),TRUE,FALSE)</f>
        <v>1</v>
      </c>
      <c r="I86" t="s">
        <v>449</v>
      </c>
      <c r="J86" t="s">
        <v>544</v>
      </c>
      <c r="K86" t="s">
        <v>459</v>
      </c>
      <c r="L86" s="1"/>
      <c r="M86" s="1"/>
    </row>
    <row r="87" spans="1:13" x14ac:dyDescent="0.2">
      <c r="A87" s="1" t="s">
        <v>89</v>
      </c>
      <c r="B87" s="1">
        <v>0.92569999999999997</v>
      </c>
      <c r="C87" s="1">
        <v>2.7000000000000001E-3</v>
      </c>
      <c r="D87" s="1">
        <v>7.1599999999999997E-2</v>
      </c>
      <c r="E87" s="1">
        <f>C87/D87</f>
        <v>3.7709497206703912E-2</v>
      </c>
      <c r="F87" s="1" t="str">
        <f>IF(B87&lt;0.7,"True","False")</f>
        <v>False</v>
      </c>
      <c r="G87" s="1" t="b">
        <f>IF(OR(E87&gt;1.5,E87&lt;0.5),TRUE,FALSE)</f>
        <v>1</v>
      </c>
      <c r="H87" s="1" t="b">
        <f>IF(AND(E87&lt;1.5,E87&gt;0.5),TRUE,FALSE)</f>
        <v>0</v>
      </c>
      <c r="I87" t="s">
        <v>450</v>
      </c>
      <c r="J87" t="s">
        <v>545</v>
      </c>
      <c r="K87" t="s">
        <v>468</v>
      </c>
      <c r="L87" s="1"/>
      <c r="M87" s="1"/>
    </row>
    <row r="88" spans="1:13" x14ac:dyDescent="0.2">
      <c r="A88" s="1" t="s">
        <v>90</v>
      </c>
      <c r="B88" s="1">
        <v>0.99860000000000004</v>
      </c>
      <c r="C88" s="1">
        <v>1E-4</v>
      </c>
      <c r="D88" s="1">
        <v>1.2999999999999999E-3</v>
      </c>
      <c r="E88" s="1">
        <f>C88/D88</f>
        <v>7.6923076923076927E-2</v>
      </c>
      <c r="F88" s="1" t="str">
        <f>IF(B88&lt;0.7,"True","False")</f>
        <v>False</v>
      </c>
      <c r="G88" s="1" t="b">
        <f>IF(OR(E88&gt;1.5,E88&lt;0.5),TRUE,FALSE)</f>
        <v>1</v>
      </c>
      <c r="H88" s="1" t="b">
        <f>IF(AND(E88&lt;1.5,E88&gt;0.5),TRUE,FALSE)</f>
        <v>0</v>
      </c>
      <c r="I88" t="s">
        <v>450</v>
      </c>
      <c r="J88" t="s">
        <v>546</v>
      </c>
      <c r="K88" t="s">
        <v>468</v>
      </c>
      <c r="L88" s="1"/>
      <c r="M88" s="1"/>
    </row>
    <row r="89" spans="1:13" x14ac:dyDescent="0.2">
      <c r="A89" s="1" t="s">
        <v>91</v>
      </c>
      <c r="B89" s="1">
        <v>0.29659999999999997</v>
      </c>
      <c r="C89" s="1">
        <v>0.35749999999999998</v>
      </c>
      <c r="D89" s="1">
        <v>0.34589999999999999</v>
      </c>
      <c r="E89" s="1">
        <f>C89/D89</f>
        <v>1.0335357039606823</v>
      </c>
      <c r="F89" s="1" t="str">
        <f>IF(B89&lt;0.7,"True","False")</f>
        <v>True</v>
      </c>
      <c r="G89" s="1" t="b">
        <f>IF(OR(E89&gt;1.5,E89&lt;0.5),TRUE,FALSE)</f>
        <v>0</v>
      </c>
      <c r="H89" s="1" t="b">
        <f>IF(AND(E89&lt;1.5,E89&gt;0.5),TRUE,FALSE)</f>
        <v>1</v>
      </c>
      <c r="I89" t="s">
        <v>449</v>
      </c>
      <c r="J89" t="s">
        <v>547</v>
      </c>
      <c r="K89" t="s">
        <v>459</v>
      </c>
      <c r="L89" s="1"/>
      <c r="M89" s="1"/>
    </row>
    <row r="90" spans="1:13" x14ac:dyDescent="0.2">
      <c r="A90" s="1" t="s">
        <v>92</v>
      </c>
      <c r="B90" s="1">
        <v>0.93079999999999996</v>
      </c>
      <c r="C90" s="1">
        <v>3.56E-2</v>
      </c>
      <c r="D90" s="1">
        <v>3.3599999999999998E-2</v>
      </c>
      <c r="E90" s="1">
        <f>C90/D90</f>
        <v>1.0595238095238095</v>
      </c>
      <c r="F90" s="1" t="str">
        <f>IF(B90&lt;0.7,"True","False")</f>
        <v>False</v>
      </c>
      <c r="G90" s="1" t="b">
        <f>IF(OR(E90&gt;1.5,E90&lt;0.5),TRUE,FALSE)</f>
        <v>0</v>
      </c>
      <c r="H90" s="1" t="b">
        <f>IF(AND(E90&lt;1.5,E90&gt;0.5),TRUE,FALSE)</f>
        <v>1</v>
      </c>
      <c r="I90" t="s">
        <v>449</v>
      </c>
      <c r="J90" t="s">
        <v>548</v>
      </c>
      <c r="K90" t="s">
        <v>459</v>
      </c>
      <c r="L90" s="1"/>
      <c r="M90" s="1"/>
    </row>
    <row r="91" spans="1:13" x14ac:dyDescent="0.2">
      <c r="A91" s="1" t="s">
        <v>93</v>
      </c>
      <c r="B91" s="1">
        <v>0.997</v>
      </c>
      <c r="C91" s="1">
        <v>1.4E-3</v>
      </c>
      <c r="D91" s="1">
        <v>1.6999999999999999E-3</v>
      </c>
      <c r="E91" s="1">
        <f>C91/D91</f>
        <v>0.82352941176470595</v>
      </c>
      <c r="F91" s="1" t="str">
        <f>IF(B91&lt;0.7,"True","False")</f>
        <v>False</v>
      </c>
      <c r="G91" s="1" t="b">
        <f>IF(OR(E91&gt;1.5,E91&lt;0.5),TRUE,FALSE)</f>
        <v>0</v>
      </c>
      <c r="H91" s="1" t="b">
        <f>IF(AND(E91&lt;1.5,E91&gt;0.5),TRUE,FALSE)</f>
        <v>1</v>
      </c>
      <c r="I91" t="s">
        <v>449</v>
      </c>
      <c r="J91" t="s">
        <v>549</v>
      </c>
      <c r="K91" t="s">
        <v>459</v>
      </c>
      <c r="L91" s="1"/>
      <c r="M91" s="1"/>
    </row>
    <row r="92" spans="1:13" x14ac:dyDescent="0.2">
      <c r="A92" s="1" t="s">
        <v>94</v>
      </c>
      <c r="B92" s="1">
        <v>0.99639999999999995</v>
      </c>
      <c r="C92" s="1">
        <v>1.9E-3</v>
      </c>
      <c r="D92" s="1">
        <v>1.6000000000000001E-3</v>
      </c>
      <c r="E92" s="1">
        <f>C92/D92</f>
        <v>1.1875</v>
      </c>
      <c r="F92" s="1" t="str">
        <f>IF(B92&lt;0.7,"True","False")</f>
        <v>False</v>
      </c>
      <c r="G92" s="1" t="b">
        <f>IF(OR(E92&gt;1.5,E92&lt;0.5),TRUE,FALSE)</f>
        <v>0</v>
      </c>
      <c r="H92" s="1" t="b">
        <f>IF(AND(E92&lt;1.5,E92&gt;0.5),TRUE,FALSE)</f>
        <v>1</v>
      </c>
      <c r="I92" t="s">
        <v>449</v>
      </c>
      <c r="J92" t="s">
        <v>550</v>
      </c>
      <c r="K92" t="s">
        <v>459</v>
      </c>
      <c r="L92" s="1"/>
      <c r="M92" s="1"/>
    </row>
    <row r="93" spans="1:13" x14ac:dyDescent="0.2">
      <c r="A93" s="1" t="s">
        <v>95</v>
      </c>
      <c r="B93" s="1">
        <v>0.99390000000000001</v>
      </c>
      <c r="C93" s="1">
        <v>3.0000000000000001E-3</v>
      </c>
      <c r="D93" s="1">
        <v>3.0999999999999999E-3</v>
      </c>
      <c r="E93" s="1">
        <f>C93/D93</f>
        <v>0.967741935483871</v>
      </c>
      <c r="F93" s="1" t="str">
        <f>IF(B93&lt;0.7,"True","False")</f>
        <v>False</v>
      </c>
      <c r="G93" s="1" t="b">
        <f>IF(OR(E93&gt;1.5,E93&lt;0.5),TRUE,FALSE)</f>
        <v>0</v>
      </c>
      <c r="H93" s="1" t="b">
        <f>IF(AND(E93&lt;1.5,E93&gt;0.5),TRUE,FALSE)</f>
        <v>1</v>
      </c>
      <c r="I93" t="s">
        <v>449</v>
      </c>
      <c r="J93" t="s">
        <v>551</v>
      </c>
      <c r="K93" t="s">
        <v>459</v>
      </c>
      <c r="L93" s="1"/>
      <c r="M93" s="1"/>
    </row>
    <row r="94" spans="1:13" x14ac:dyDescent="0.2">
      <c r="A94" s="1" t="s">
        <v>96</v>
      </c>
      <c r="B94" s="1">
        <v>0.86129999999999995</v>
      </c>
      <c r="C94" s="1">
        <v>6.9699999999999998E-2</v>
      </c>
      <c r="D94" s="1">
        <v>6.9099999999999995E-2</v>
      </c>
      <c r="E94" s="1">
        <f>C94/D94</f>
        <v>1.0086830680173662</v>
      </c>
      <c r="F94" s="1" t="str">
        <f>IF(B94&lt;0.7,"True","False")</f>
        <v>False</v>
      </c>
      <c r="G94" s="1" t="b">
        <f>IF(OR(E94&gt;1.5,E94&lt;0.5),TRUE,FALSE)</f>
        <v>0</v>
      </c>
      <c r="H94" s="1" t="b">
        <f>IF(AND(E94&lt;1.5,E94&gt;0.5),TRUE,FALSE)</f>
        <v>1</v>
      </c>
      <c r="I94" t="s">
        <v>449</v>
      </c>
      <c r="J94" t="s">
        <v>552</v>
      </c>
      <c r="K94" t="s">
        <v>459</v>
      </c>
      <c r="L94" s="1"/>
      <c r="M94" s="1"/>
    </row>
    <row r="95" spans="1:13" x14ac:dyDescent="0.2">
      <c r="A95" s="1" t="s">
        <v>97</v>
      </c>
      <c r="B95" s="1">
        <v>0.31469999999999998</v>
      </c>
      <c r="C95" s="1">
        <v>0.3463</v>
      </c>
      <c r="D95" s="1">
        <v>0.33900000000000002</v>
      </c>
      <c r="E95" s="1">
        <f>C95/D95</f>
        <v>1.0215339233038347</v>
      </c>
      <c r="F95" s="1" t="str">
        <f>IF(B95&lt;0.7,"True","False")</f>
        <v>True</v>
      </c>
      <c r="G95" s="1" t="b">
        <f>IF(OR(E95&gt;1.5,E95&lt;0.5),TRUE,FALSE)</f>
        <v>0</v>
      </c>
      <c r="H95" s="1" t="b">
        <f>IF(AND(E95&lt;1.5,E95&gt;0.5),TRUE,FALSE)</f>
        <v>1</v>
      </c>
      <c r="I95" t="s">
        <v>449</v>
      </c>
      <c r="J95" t="s">
        <v>553</v>
      </c>
      <c r="K95" t="s">
        <v>459</v>
      </c>
      <c r="L95" s="1"/>
      <c r="M95" s="1"/>
    </row>
    <row r="96" spans="1:13" x14ac:dyDescent="0.2">
      <c r="A96" s="1" t="s">
        <v>98</v>
      </c>
      <c r="B96" s="1">
        <v>0.55910000000000004</v>
      </c>
      <c r="C96" s="1">
        <v>0.2208</v>
      </c>
      <c r="D96" s="1">
        <v>0.22009999999999999</v>
      </c>
      <c r="E96" s="1">
        <f>C96/D96</f>
        <v>1.0031803725579282</v>
      </c>
      <c r="F96" s="1" t="str">
        <f>IF(B96&lt;0.7,"True","False")</f>
        <v>True</v>
      </c>
      <c r="G96" s="1" t="b">
        <f>IF(OR(E96&gt;1.5,E96&lt;0.5),TRUE,FALSE)</f>
        <v>0</v>
      </c>
      <c r="H96" s="1" t="b">
        <f>IF(AND(E96&lt;1.5,E96&gt;0.5),TRUE,FALSE)</f>
        <v>1</v>
      </c>
      <c r="I96" t="s">
        <v>449</v>
      </c>
      <c r="J96" t="s">
        <v>554</v>
      </c>
      <c r="K96" t="s">
        <v>459</v>
      </c>
      <c r="L96" s="1"/>
      <c r="M96" s="1"/>
    </row>
    <row r="97" spans="1:13" x14ac:dyDescent="0.2">
      <c r="A97" s="1" t="s">
        <v>99</v>
      </c>
      <c r="B97" s="1">
        <v>0.98519999999999996</v>
      </c>
      <c r="C97" s="1">
        <v>7.6E-3</v>
      </c>
      <c r="D97" s="1">
        <v>7.1999999999999998E-3</v>
      </c>
      <c r="E97" s="1">
        <f>C97/D97</f>
        <v>1.0555555555555556</v>
      </c>
      <c r="F97" s="1" t="str">
        <f>IF(B97&lt;0.7,"True","False")</f>
        <v>False</v>
      </c>
      <c r="G97" s="1" t="b">
        <f>IF(OR(E97&gt;1.5,E97&lt;0.5),TRUE,FALSE)</f>
        <v>0</v>
      </c>
      <c r="H97" s="1" t="b">
        <f>IF(AND(E97&lt;1.5,E97&gt;0.5),TRUE,FALSE)</f>
        <v>1</v>
      </c>
      <c r="I97" t="s">
        <v>449</v>
      </c>
      <c r="J97" t="s">
        <v>555</v>
      </c>
      <c r="K97" t="s">
        <v>459</v>
      </c>
      <c r="L97" s="1"/>
      <c r="M97" s="1"/>
    </row>
    <row r="98" spans="1:13" x14ac:dyDescent="0.2">
      <c r="A98" s="1" t="s">
        <v>100</v>
      </c>
      <c r="B98" s="1">
        <v>0.4486</v>
      </c>
      <c r="C98" s="1">
        <v>0.2787</v>
      </c>
      <c r="D98" s="1">
        <v>0.27260000000000001</v>
      </c>
      <c r="E98" s="1">
        <f>C98/D98</f>
        <v>1.0223771093176817</v>
      </c>
      <c r="F98" s="1" t="str">
        <f>IF(B98&lt;0.7,"True","False")</f>
        <v>True</v>
      </c>
      <c r="G98" s="1" t="b">
        <f>IF(OR(E98&gt;1.5,E98&lt;0.5),TRUE,FALSE)</f>
        <v>0</v>
      </c>
      <c r="H98" s="1" t="b">
        <f>IF(AND(E98&lt;1.5,E98&gt;0.5),TRUE,FALSE)</f>
        <v>1</v>
      </c>
      <c r="I98" t="s">
        <v>449</v>
      </c>
      <c r="J98" t="s">
        <v>556</v>
      </c>
      <c r="K98" t="s">
        <v>459</v>
      </c>
      <c r="L98" s="1"/>
      <c r="M98" s="1"/>
    </row>
    <row r="99" spans="1:13" x14ac:dyDescent="0.2">
      <c r="A99" s="1" t="s">
        <v>101</v>
      </c>
      <c r="B99" s="1">
        <v>0.33860000000000001</v>
      </c>
      <c r="C99" s="1">
        <v>0.33379999999999999</v>
      </c>
      <c r="D99" s="1">
        <v>0.32750000000000001</v>
      </c>
      <c r="E99" s="1">
        <f>C99/D99</f>
        <v>1.019236641221374</v>
      </c>
      <c r="F99" s="1" t="str">
        <f>IF(B99&lt;0.7,"True","False")</f>
        <v>True</v>
      </c>
      <c r="G99" s="1" t="b">
        <f>IF(OR(E99&gt;1.5,E99&lt;0.5),TRUE,FALSE)</f>
        <v>0</v>
      </c>
      <c r="H99" s="1" t="b">
        <f>IF(AND(E99&lt;1.5,E99&gt;0.5),TRUE,FALSE)</f>
        <v>1</v>
      </c>
      <c r="I99" t="s">
        <v>449</v>
      </c>
      <c r="J99" t="s">
        <v>557</v>
      </c>
      <c r="K99" t="s">
        <v>459</v>
      </c>
      <c r="L99" s="1"/>
      <c r="M99" s="1"/>
    </row>
    <row r="100" spans="1:13" x14ac:dyDescent="0.2">
      <c r="A100" s="1" t="s">
        <v>102</v>
      </c>
      <c r="B100" s="1">
        <v>0.26219999999999999</v>
      </c>
      <c r="C100" s="1">
        <v>0.372</v>
      </c>
      <c r="D100" s="1">
        <v>0.36580000000000001</v>
      </c>
      <c r="E100" s="1">
        <f>C100/D100</f>
        <v>1.0169491525423728</v>
      </c>
      <c r="F100" s="1" t="str">
        <f>IF(B100&lt;0.7,"True","False")</f>
        <v>True</v>
      </c>
      <c r="G100" s="1" t="b">
        <f>IF(OR(E100&gt;1.5,E100&lt;0.5),TRUE,FALSE)</f>
        <v>0</v>
      </c>
      <c r="H100" s="1" t="b">
        <f>IF(AND(E100&lt;1.5,E100&gt;0.5),TRUE,FALSE)</f>
        <v>1</v>
      </c>
      <c r="I100" t="s">
        <v>449</v>
      </c>
      <c r="J100" t="s">
        <v>558</v>
      </c>
      <c r="K100" t="s">
        <v>459</v>
      </c>
      <c r="L100" s="1"/>
      <c r="M100" s="1"/>
    </row>
    <row r="101" spans="1:13" x14ac:dyDescent="0.2">
      <c r="A101" s="1" t="s">
        <v>103</v>
      </c>
      <c r="B101" s="1">
        <v>0.59289999999999998</v>
      </c>
      <c r="C101" s="1">
        <v>5.8999999999999999E-3</v>
      </c>
      <c r="D101" s="1">
        <v>0.4012</v>
      </c>
      <c r="E101" s="1">
        <f>C101/D101</f>
        <v>1.4705882352941176E-2</v>
      </c>
      <c r="F101" s="1" t="str">
        <f>IF(B101&lt;0.7,"True","False")</f>
        <v>True</v>
      </c>
      <c r="G101" s="1" t="b">
        <f>IF(OR(E101&gt;1.5,E101&lt;0.5),TRUE,FALSE)</f>
        <v>1</v>
      </c>
      <c r="H101" s="1" t="b">
        <f>IF(AND(E101&lt;1.5,E101&gt;0.5),TRUE,FALSE)</f>
        <v>0</v>
      </c>
      <c r="I101" t="s">
        <v>450</v>
      </c>
      <c r="J101" t="s">
        <v>559</v>
      </c>
      <c r="K101" t="s">
        <v>468</v>
      </c>
      <c r="L101" s="1"/>
      <c r="M101" s="1"/>
    </row>
    <row r="102" spans="1:13" x14ac:dyDescent="0.2">
      <c r="A102" s="1" t="s">
        <v>104</v>
      </c>
      <c r="B102" s="1">
        <v>0.99550000000000005</v>
      </c>
      <c r="C102" s="1">
        <v>8.9999999999999998E-4</v>
      </c>
      <c r="D102" s="1">
        <v>3.5999999999999999E-3</v>
      </c>
      <c r="E102" s="1">
        <f>C102/D102</f>
        <v>0.25</v>
      </c>
      <c r="F102" s="1" t="str">
        <f>IF(B102&lt;0.7,"True","False")</f>
        <v>False</v>
      </c>
      <c r="G102" s="1" t="b">
        <f>IF(OR(E102&gt;1.5,E102&lt;0.5),TRUE,FALSE)</f>
        <v>1</v>
      </c>
      <c r="H102" s="1" t="b">
        <f>IF(AND(E102&lt;1.5,E102&gt;0.5),TRUE,FALSE)</f>
        <v>0</v>
      </c>
      <c r="I102" t="s">
        <v>450</v>
      </c>
      <c r="J102" t="s">
        <v>560</v>
      </c>
      <c r="K102" t="s">
        <v>468</v>
      </c>
      <c r="L102" s="1"/>
      <c r="M102" s="1"/>
    </row>
    <row r="103" spans="1:13" x14ac:dyDescent="0.2">
      <c r="A103" s="1" t="s">
        <v>105</v>
      </c>
      <c r="B103" s="1">
        <v>0.47070000000000001</v>
      </c>
      <c r="C103" s="1">
        <v>0.26600000000000001</v>
      </c>
      <c r="D103" s="1">
        <v>0.26319999999999999</v>
      </c>
      <c r="E103" s="1">
        <f>C103/D103</f>
        <v>1.0106382978723405</v>
      </c>
      <c r="F103" s="1" t="str">
        <f>IF(B103&lt;0.7,"True","False")</f>
        <v>True</v>
      </c>
      <c r="G103" s="1" t="b">
        <f>IF(OR(E103&gt;1.5,E103&lt;0.5),TRUE,FALSE)</f>
        <v>0</v>
      </c>
      <c r="H103" s="1" t="b">
        <f>IF(AND(E103&lt;1.5,E103&gt;0.5),TRUE,FALSE)</f>
        <v>1</v>
      </c>
      <c r="I103" t="s">
        <v>449</v>
      </c>
      <c r="J103" t="s">
        <v>561</v>
      </c>
      <c r="K103" t="s">
        <v>459</v>
      </c>
      <c r="L103" s="1"/>
      <c r="M103" s="1"/>
    </row>
    <row r="104" spans="1:13" x14ac:dyDescent="0.2">
      <c r="A104" s="1" t="s">
        <v>106</v>
      </c>
      <c r="B104" s="1">
        <v>0.99650000000000005</v>
      </c>
      <c r="C104" s="1">
        <v>1.8E-3</v>
      </c>
      <c r="D104" s="1">
        <v>1.6999999999999999E-3</v>
      </c>
      <c r="E104" s="1">
        <f>C104/D104</f>
        <v>1.0588235294117647</v>
      </c>
      <c r="F104" s="1" t="str">
        <f>IF(B104&lt;0.7,"True","False")</f>
        <v>False</v>
      </c>
      <c r="G104" s="1" t="b">
        <f>IF(OR(E104&gt;1.5,E104&lt;0.5),TRUE,FALSE)</f>
        <v>0</v>
      </c>
      <c r="H104" s="1" t="b">
        <f>IF(AND(E104&lt;1.5,E104&gt;0.5),TRUE,FALSE)</f>
        <v>1</v>
      </c>
      <c r="I104" t="s">
        <v>449</v>
      </c>
      <c r="J104" t="s">
        <v>562</v>
      </c>
      <c r="K104" t="s">
        <v>459</v>
      </c>
      <c r="L104" s="1"/>
      <c r="M104" s="1"/>
    </row>
    <row r="105" spans="1:13" x14ac:dyDescent="0.2">
      <c r="A105" s="1" t="s">
        <v>107</v>
      </c>
      <c r="B105" s="1">
        <v>0.34939999999999999</v>
      </c>
      <c r="C105" s="1">
        <v>0.3296</v>
      </c>
      <c r="D105" s="1">
        <v>0.32090000000000002</v>
      </c>
      <c r="E105" s="1">
        <f>C105/D105</f>
        <v>1.0271112496104704</v>
      </c>
      <c r="F105" s="1" t="str">
        <f>IF(B105&lt;0.7,"True","False")</f>
        <v>True</v>
      </c>
      <c r="G105" s="1" t="b">
        <f>IF(OR(E105&gt;1.5,E105&lt;0.5),TRUE,FALSE)</f>
        <v>0</v>
      </c>
      <c r="H105" s="1" t="b">
        <f>IF(AND(E105&lt;1.5,E105&gt;0.5),TRUE,FALSE)</f>
        <v>1</v>
      </c>
      <c r="I105" t="s">
        <v>449</v>
      </c>
      <c r="J105" t="s">
        <v>563</v>
      </c>
      <c r="K105" t="s">
        <v>459</v>
      </c>
      <c r="L105" s="1"/>
      <c r="M105" s="1"/>
    </row>
    <row r="106" spans="1:13" x14ac:dyDescent="0.2">
      <c r="A106" s="1" t="s">
        <v>108</v>
      </c>
      <c r="B106" s="1">
        <v>0.49330000000000002</v>
      </c>
      <c r="C106" s="1">
        <v>0.255</v>
      </c>
      <c r="D106" s="1">
        <v>0.25169999999999998</v>
      </c>
      <c r="E106" s="1">
        <f>C106/D106</f>
        <v>1.0131108462455305</v>
      </c>
      <c r="F106" s="1" t="str">
        <f>IF(B106&lt;0.7,"True","False")</f>
        <v>True</v>
      </c>
      <c r="G106" s="1" t="b">
        <f>IF(OR(E106&gt;1.5,E106&lt;0.5),TRUE,FALSE)</f>
        <v>0</v>
      </c>
      <c r="H106" s="1" t="b">
        <f>IF(AND(E106&lt;1.5,E106&gt;0.5),TRUE,FALSE)</f>
        <v>1</v>
      </c>
      <c r="I106" t="s">
        <v>449</v>
      </c>
      <c r="J106" t="s">
        <v>564</v>
      </c>
      <c r="K106" t="s">
        <v>459</v>
      </c>
      <c r="L106" s="1"/>
      <c r="M106" s="1"/>
    </row>
    <row r="107" spans="1:13" x14ac:dyDescent="0.2">
      <c r="A107" s="1" t="s">
        <v>109</v>
      </c>
      <c r="B107" s="1">
        <v>0.34760000000000002</v>
      </c>
      <c r="C107" s="1">
        <v>0.32840000000000003</v>
      </c>
      <c r="D107" s="1">
        <v>0.32400000000000001</v>
      </c>
      <c r="E107" s="1">
        <f>C107/D107</f>
        <v>1.0135802469135804</v>
      </c>
      <c r="F107" s="1" t="str">
        <f>IF(B107&lt;0.7,"True","False")</f>
        <v>True</v>
      </c>
      <c r="G107" s="1" t="b">
        <f>IF(OR(E107&gt;1.5,E107&lt;0.5),TRUE,FALSE)</f>
        <v>0</v>
      </c>
      <c r="H107" s="1" t="b">
        <f>IF(AND(E107&lt;1.5,E107&gt;0.5),TRUE,FALSE)</f>
        <v>1</v>
      </c>
      <c r="I107" t="s">
        <v>449</v>
      </c>
      <c r="J107" t="s">
        <v>565</v>
      </c>
      <c r="K107" t="s">
        <v>459</v>
      </c>
      <c r="L107" s="1"/>
      <c r="M107" s="1"/>
    </row>
    <row r="108" spans="1:13" x14ac:dyDescent="0.2">
      <c r="A108" s="1" t="s">
        <v>110</v>
      </c>
      <c r="B108" s="1">
        <v>0.3997</v>
      </c>
      <c r="C108" s="1">
        <v>0.30220000000000002</v>
      </c>
      <c r="D108" s="1">
        <v>0.29809999999999998</v>
      </c>
      <c r="E108" s="1">
        <f>C108/D108</f>
        <v>1.0137537739013756</v>
      </c>
      <c r="F108" s="1" t="str">
        <f>IF(B108&lt;0.7,"True","False")</f>
        <v>True</v>
      </c>
      <c r="G108" s="1" t="b">
        <f>IF(OR(E108&gt;1.5,E108&lt;0.5),TRUE,FALSE)</f>
        <v>0</v>
      </c>
      <c r="H108" s="1" t="b">
        <f>IF(AND(E108&lt;1.5,E108&gt;0.5),TRUE,FALSE)</f>
        <v>1</v>
      </c>
      <c r="I108" t="s">
        <v>449</v>
      </c>
      <c r="J108" t="s">
        <v>566</v>
      </c>
      <c r="K108" t="s">
        <v>459</v>
      </c>
      <c r="L108" s="1"/>
      <c r="M108" s="1"/>
    </row>
    <row r="109" spans="1:13" x14ac:dyDescent="0.2">
      <c r="A109" s="1" t="s">
        <v>111</v>
      </c>
      <c r="B109" s="1">
        <v>0.54959999999999998</v>
      </c>
      <c r="C109" s="1">
        <v>0.2268</v>
      </c>
      <c r="D109" s="1">
        <v>0.22359999999999999</v>
      </c>
      <c r="E109" s="1">
        <f>C109/D109</f>
        <v>1.0143112701252237</v>
      </c>
      <c r="F109" s="1" t="str">
        <f>IF(B109&lt;0.7,"True","False")</f>
        <v>True</v>
      </c>
      <c r="G109" s="1" t="b">
        <f>IF(OR(E109&gt;1.5,E109&lt;0.5),TRUE,FALSE)</f>
        <v>0</v>
      </c>
      <c r="H109" s="1" t="b">
        <f>IF(AND(E109&lt;1.5,E109&gt;0.5),TRUE,FALSE)</f>
        <v>1</v>
      </c>
      <c r="I109" t="s">
        <v>449</v>
      </c>
      <c r="J109" t="s">
        <v>567</v>
      </c>
      <c r="K109" t="s">
        <v>459</v>
      </c>
      <c r="L109" s="1"/>
      <c r="M109" s="1"/>
    </row>
    <row r="110" spans="1:13" x14ac:dyDescent="0.2">
      <c r="A110" s="1" t="s">
        <v>112</v>
      </c>
      <c r="B110" s="1">
        <v>0.83530000000000004</v>
      </c>
      <c r="C110" s="1">
        <v>8.1900000000000001E-2</v>
      </c>
      <c r="D110" s="1">
        <v>8.2799999999999999E-2</v>
      </c>
      <c r="E110" s="1">
        <f>C110/D110</f>
        <v>0.98913043478260876</v>
      </c>
      <c r="F110" s="1" t="str">
        <f>IF(B110&lt;0.7,"True","False")</f>
        <v>False</v>
      </c>
      <c r="G110" s="1" t="b">
        <f>IF(OR(E110&gt;1.5,E110&lt;0.5),TRUE,FALSE)</f>
        <v>0</v>
      </c>
      <c r="H110" s="1" t="b">
        <f>IF(AND(E110&lt;1.5,E110&gt;0.5),TRUE,FALSE)</f>
        <v>1</v>
      </c>
      <c r="I110" t="s">
        <v>449</v>
      </c>
      <c r="J110" t="s">
        <v>568</v>
      </c>
      <c r="K110" t="s">
        <v>459</v>
      </c>
      <c r="L110" s="1"/>
      <c r="M110" s="1"/>
    </row>
    <row r="111" spans="1:13" x14ac:dyDescent="0.2">
      <c r="A111" s="1" t="s">
        <v>113</v>
      </c>
      <c r="B111" s="1">
        <v>0.43930000000000002</v>
      </c>
      <c r="C111" s="1">
        <v>0.28310000000000002</v>
      </c>
      <c r="D111" s="1">
        <v>0.27760000000000001</v>
      </c>
      <c r="E111" s="1">
        <f>C111/D111</f>
        <v>1.0198126801152738</v>
      </c>
      <c r="F111" s="1" t="str">
        <f>IF(B111&lt;0.7,"True","False")</f>
        <v>True</v>
      </c>
      <c r="G111" s="1" t="b">
        <f>IF(OR(E111&gt;1.5,E111&lt;0.5),TRUE,FALSE)</f>
        <v>0</v>
      </c>
      <c r="H111" s="1" t="b">
        <f>IF(AND(E111&lt;1.5,E111&gt;0.5),TRUE,FALSE)</f>
        <v>1</v>
      </c>
      <c r="I111" t="s">
        <v>449</v>
      </c>
      <c r="J111" t="s">
        <v>569</v>
      </c>
      <c r="K111" t="s">
        <v>459</v>
      </c>
      <c r="L111" s="1"/>
      <c r="M111" s="1"/>
    </row>
    <row r="112" spans="1:13" x14ac:dyDescent="0.2">
      <c r="A112" s="1" t="s">
        <v>114</v>
      </c>
      <c r="B112" s="1">
        <v>0.2291</v>
      </c>
      <c r="C112" s="1">
        <v>0.38750000000000001</v>
      </c>
      <c r="D112" s="1">
        <v>0.38340000000000002</v>
      </c>
      <c r="E112" s="1">
        <f>C112/D112</f>
        <v>1.0106937923839332</v>
      </c>
      <c r="F112" s="1" t="str">
        <f>IF(B112&lt;0.7,"True","False")</f>
        <v>True</v>
      </c>
      <c r="G112" s="1" t="b">
        <f>IF(OR(E112&gt;1.5,E112&lt;0.5),TRUE,FALSE)</f>
        <v>0</v>
      </c>
      <c r="H112" s="1" t="b">
        <f>IF(AND(E112&lt;1.5,E112&gt;0.5),TRUE,FALSE)</f>
        <v>1</v>
      </c>
      <c r="I112" t="s">
        <v>449</v>
      </c>
      <c r="J112" t="s">
        <v>570</v>
      </c>
      <c r="K112" t="s">
        <v>459</v>
      </c>
      <c r="L112" s="1"/>
      <c r="M112" s="1"/>
    </row>
    <row r="113" spans="1:13" x14ac:dyDescent="0.2">
      <c r="A113" s="1" t="s">
        <v>115</v>
      </c>
      <c r="B113" s="1">
        <v>0.18459999999999999</v>
      </c>
      <c r="C113" s="1">
        <v>0.40920000000000001</v>
      </c>
      <c r="D113" s="1">
        <v>0.40620000000000001</v>
      </c>
      <c r="E113" s="1">
        <f>C113/D113</f>
        <v>1.0073855243722305</v>
      </c>
      <c r="F113" s="1" t="str">
        <f>IF(B113&lt;0.7,"True","False")</f>
        <v>True</v>
      </c>
      <c r="G113" s="1" t="b">
        <f>IF(OR(E113&gt;1.5,E113&lt;0.5),TRUE,FALSE)</f>
        <v>0</v>
      </c>
      <c r="H113" s="1" t="b">
        <f>IF(AND(E113&lt;1.5,E113&gt;0.5),TRUE,FALSE)</f>
        <v>1</v>
      </c>
      <c r="I113" t="s">
        <v>449</v>
      </c>
      <c r="J113" t="s">
        <v>571</v>
      </c>
      <c r="K113" t="s">
        <v>459</v>
      </c>
      <c r="L113" s="1"/>
      <c r="M113" s="1"/>
    </row>
    <row r="114" spans="1:13" x14ac:dyDescent="0.2">
      <c r="A114" s="1" t="s">
        <v>116</v>
      </c>
      <c r="B114" s="1">
        <v>0.28660000000000002</v>
      </c>
      <c r="C114" s="1">
        <v>0.35949999999999999</v>
      </c>
      <c r="D114" s="1">
        <v>0.35389999999999999</v>
      </c>
      <c r="E114" s="1">
        <f>C114/D114</f>
        <v>1.0158236790053687</v>
      </c>
      <c r="F114" s="1" t="str">
        <f>IF(B114&lt;0.7,"True","False")</f>
        <v>True</v>
      </c>
      <c r="G114" s="1" t="b">
        <f>IF(OR(E114&gt;1.5,E114&lt;0.5),TRUE,FALSE)</f>
        <v>0</v>
      </c>
      <c r="H114" s="1" t="b">
        <f>IF(AND(E114&lt;1.5,E114&gt;0.5),TRUE,FALSE)</f>
        <v>1</v>
      </c>
      <c r="I114" t="s">
        <v>449</v>
      </c>
      <c r="J114" t="s">
        <v>572</v>
      </c>
      <c r="K114" t="s">
        <v>459</v>
      </c>
      <c r="L114" s="1"/>
      <c r="M114" s="1"/>
    </row>
    <row r="115" spans="1:13" x14ac:dyDescent="0.2">
      <c r="A115" s="1" t="s">
        <v>117</v>
      </c>
      <c r="B115" s="1">
        <v>0.9607</v>
      </c>
      <c r="C115" s="1">
        <v>1.1999999999999999E-3</v>
      </c>
      <c r="D115" s="1">
        <v>3.8100000000000002E-2</v>
      </c>
      <c r="E115" s="1">
        <f>C115/D115</f>
        <v>3.1496062992125977E-2</v>
      </c>
      <c r="F115" s="1" t="str">
        <f>IF(B115&lt;0.7,"True","False")</f>
        <v>False</v>
      </c>
      <c r="G115" s="1" t="b">
        <f>IF(OR(E115&gt;1.5,E115&lt;0.5),TRUE,FALSE)</f>
        <v>1</v>
      </c>
      <c r="H115" s="1" t="b">
        <f>IF(AND(E115&lt;1.5,E115&gt;0.5),TRUE,FALSE)</f>
        <v>0</v>
      </c>
      <c r="I115" t="s">
        <v>450</v>
      </c>
      <c r="J115" t="s">
        <v>573</v>
      </c>
      <c r="K115" t="s">
        <v>468</v>
      </c>
      <c r="L115" s="1"/>
      <c r="M115" s="1"/>
    </row>
    <row r="116" spans="1:13" x14ac:dyDescent="0.2">
      <c r="A116" s="1" t="s">
        <v>118</v>
      </c>
      <c r="B116" s="1">
        <v>0.98670000000000002</v>
      </c>
      <c r="C116" s="1">
        <v>1E-3</v>
      </c>
      <c r="D116" s="1">
        <v>1.23E-2</v>
      </c>
      <c r="E116" s="1">
        <f>C116/D116</f>
        <v>8.1300813008130079E-2</v>
      </c>
      <c r="F116" s="1" t="str">
        <f>IF(B116&lt;0.7,"True","False")</f>
        <v>False</v>
      </c>
      <c r="G116" s="1" t="b">
        <f>IF(OR(E116&gt;1.5,E116&lt;0.5),TRUE,FALSE)</f>
        <v>1</v>
      </c>
      <c r="H116" s="1" t="b">
        <f>IF(AND(E116&lt;1.5,E116&gt;0.5),TRUE,FALSE)</f>
        <v>0</v>
      </c>
      <c r="I116" t="s">
        <v>450</v>
      </c>
      <c r="J116" t="s">
        <v>574</v>
      </c>
      <c r="K116" t="s">
        <v>468</v>
      </c>
      <c r="L116" s="1"/>
      <c r="M116" s="1"/>
    </row>
    <row r="117" spans="1:13" x14ac:dyDescent="0.2">
      <c r="A117" s="1" t="s">
        <v>119</v>
      </c>
      <c r="B117" s="1">
        <v>0.99450000000000005</v>
      </c>
      <c r="C117" s="1">
        <v>1.1000000000000001E-3</v>
      </c>
      <c r="D117" s="1">
        <v>4.4000000000000003E-3</v>
      </c>
      <c r="E117" s="1">
        <f>C117/D117</f>
        <v>0.25</v>
      </c>
      <c r="F117" s="1" t="str">
        <f>IF(B117&lt;0.7,"True","False")</f>
        <v>False</v>
      </c>
      <c r="G117" s="1" t="b">
        <f>IF(OR(E117&gt;1.5,E117&lt;0.5),TRUE,FALSE)</f>
        <v>1</v>
      </c>
      <c r="H117" s="1" t="b">
        <f>IF(AND(E117&lt;1.5,E117&gt;0.5),TRUE,FALSE)</f>
        <v>0</v>
      </c>
      <c r="I117" t="s">
        <v>450</v>
      </c>
      <c r="J117" t="s">
        <v>575</v>
      </c>
      <c r="K117" t="s">
        <v>468</v>
      </c>
      <c r="L117" s="1"/>
      <c r="M117" s="1"/>
    </row>
    <row r="118" spans="1:13" x14ac:dyDescent="0.2">
      <c r="A118" s="1" t="s">
        <v>120</v>
      </c>
      <c r="B118" s="1">
        <v>0.27650000000000002</v>
      </c>
      <c r="C118" s="1">
        <v>0.36259999999999998</v>
      </c>
      <c r="D118" s="1">
        <v>0.3609</v>
      </c>
      <c r="E118" s="1">
        <f>C118/D118</f>
        <v>1.0047104461069547</v>
      </c>
      <c r="F118" s="1" t="str">
        <f>IF(B118&lt;0.7,"True","False")</f>
        <v>True</v>
      </c>
      <c r="G118" s="1" t="b">
        <f>IF(OR(E118&gt;1.5,E118&lt;0.5),TRUE,FALSE)</f>
        <v>0</v>
      </c>
      <c r="H118" s="1" t="b">
        <f>IF(AND(E118&lt;1.5,E118&gt;0.5),TRUE,FALSE)</f>
        <v>1</v>
      </c>
      <c r="I118" t="s">
        <v>449</v>
      </c>
      <c r="J118" t="s">
        <v>576</v>
      </c>
      <c r="K118" t="s">
        <v>459</v>
      </c>
      <c r="L118" s="1"/>
      <c r="M118" s="1"/>
    </row>
    <row r="119" spans="1:13" x14ac:dyDescent="0.2">
      <c r="A119" s="1" t="s">
        <v>121</v>
      </c>
      <c r="B119" s="1">
        <v>0.32240000000000002</v>
      </c>
      <c r="C119" s="1">
        <v>0.33789999999999998</v>
      </c>
      <c r="D119" s="1">
        <v>0.3397</v>
      </c>
      <c r="E119" s="1">
        <f>C119/D119</f>
        <v>0.99470120694730635</v>
      </c>
      <c r="F119" s="1" t="str">
        <f>IF(B119&lt;0.7,"True","False")</f>
        <v>True</v>
      </c>
      <c r="G119" s="1" t="b">
        <f>IF(OR(E119&gt;1.5,E119&lt;0.5),TRUE,FALSE)</f>
        <v>0</v>
      </c>
      <c r="H119" s="1" t="b">
        <f>IF(AND(E119&lt;1.5,E119&gt;0.5),TRUE,FALSE)</f>
        <v>1</v>
      </c>
      <c r="I119" t="s">
        <v>449</v>
      </c>
      <c r="J119" t="s">
        <v>577</v>
      </c>
      <c r="K119" t="s">
        <v>459</v>
      </c>
      <c r="L119" s="1"/>
      <c r="M119" s="1"/>
    </row>
    <row r="120" spans="1:13" x14ac:dyDescent="0.2">
      <c r="A120" s="1" t="s">
        <v>122</v>
      </c>
      <c r="B120" s="1">
        <v>0.99770000000000003</v>
      </c>
      <c r="C120" s="1">
        <v>1E-4</v>
      </c>
      <c r="D120" s="1">
        <v>2.2000000000000001E-3</v>
      </c>
      <c r="E120" s="1">
        <f>C120/D120</f>
        <v>4.5454545454545456E-2</v>
      </c>
      <c r="F120" s="1" t="str">
        <f>IF(B120&lt;0.7,"True","False")</f>
        <v>False</v>
      </c>
      <c r="G120" s="1" t="b">
        <f>IF(OR(E120&gt;1.5,E120&lt;0.5),TRUE,FALSE)</f>
        <v>1</v>
      </c>
      <c r="H120" s="1" t="b">
        <f>IF(AND(E120&lt;1.5,E120&gt;0.5),TRUE,FALSE)</f>
        <v>0</v>
      </c>
      <c r="I120" t="s">
        <v>450</v>
      </c>
      <c r="J120" t="s">
        <v>578</v>
      </c>
      <c r="K120" t="s">
        <v>468</v>
      </c>
      <c r="L120" s="1"/>
      <c r="M120" s="1"/>
    </row>
    <row r="121" spans="1:13" x14ac:dyDescent="0.2">
      <c r="A121" s="1" t="s">
        <v>123</v>
      </c>
      <c r="B121" s="1">
        <v>0.99750000000000005</v>
      </c>
      <c r="C121" s="1">
        <v>2.0000000000000001E-4</v>
      </c>
      <c r="D121" s="1">
        <v>2.3E-3</v>
      </c>
      <c r="E121" s="1">
        <f>C121/D121</f>
        <v>8.6956521739130446E-2</v>
      </c>
      <c r="F121" s="1" t="str">
        <f>IF(B121&lt;0.7,"True","False")</f>
        <v>False</v>
      </c>
      <c r="G121" s="1" t="b">
        <f>IF(OR(E121&gt;1.5,E121&lt;0.5),TRUE,FALSE)</f>
        <v>1</v>
      </c>
      <c r="H121" s="1" t="b">
        <f>IF(AND(E121&lt;1.5,E121&gt;0.5),TRUE,FALSE)</f>
        <v>0</v>
      </c>
      <c r="I121" t="s">
        <v>450</v>
      </c>
      <c r="J121" t="s">
        <v>579</v>
      </c>
      <c r="K121" t="s">
        <v>468</v>
      </c>
      <c r="L121" s="1"/>
      <c r="M121" s="1"/>
    </row>
    <row r="122" spans="1:13" x14ac:dyDescent="0.2">
      <c r="A122" s="1" t="s">
        <v>124</v>
      </c>
      <c r="B122" s="1">
        <v>0.29360000000000003</v>
      </c>
      <c r="C122" s="1">
        <v>0.35580000000000001</v>
      </c>
      <c r="D122" s="1">
        <v>0.35060000000000002</v>
      </c>
      <c r="E122" s="1">
        <f>C122/D122</f>
        <v>1.0148317170564745</v>
      </c>
      <c r="F122" s="1" t="str">
        <f>IF(B122&lt;0.7,"True","False")</f>
        <v>True</v>
      </c>
      <c r="G122" s="1" t="b">
        <f>IF(OR(E122&gt;1.5,E122&lt;0.5),TRUE,FALSE)</f>
        <v>0</v>
      </c>
      <c r="H122" s="1" t="b">
        <f>IF(AND(E122&lt;1.5,E122&gt;0.5),TRUE,FALSE)</f>
        <v>1</v>
      </c>
      <c r="I122" t="s">
        <v>449</v>
      </c>
      <c r="J122" t="s">
        <v>580</v>
      </c>
      <c r="K122" t="s">
        <v>459</v>
      </c>
      <c r="L122" s="1"/>
      <c r="M122" s="1"/>
    </row>
    <row r="123" spans="1:13" x14ac:dyDescent="0.2">
      <c r="A123" s="1" t="s">
        <v>125</v>
      </c>
      <c r="B123" s="1">
        <v>0.38200000000000001</v>
      </c>
      <c r="C123" s="1">
        <v>0.3105</v>
      </c>
      <c r="D123" s="1">
        <v>0.30759999999999998</v>
      </c>
      <c r="E123" s="1">
        <f>C123/D123</f>
        <v>1.0094278283485045</v>
      </c>
      <c r="F123" s="1" t="str">
        <f>IF(B123&lt;0.7,"True","False")</f>
        <v>True</v>
      </c>
      <c r="G123" s="1" t="b">
        <f>IF(OR(E123&gt;1.5,E123&lt;0.5),TRUE,FALSE)</f>
        <v>0</v>
      </c>
      <c r="H123" s="1" t="b">
        <f>IF(AND(E123&lt;1.5,E123&gt;0.5),TRUE,FALSE)</f>
        <v>1</v>
      </c>
      <c r="I123" t="s">
        <v>449</v>
      </c>
      <c r="J123" t="s">
        <v>581</v>
      </c>
      <c r="K123" t="s">
        <v>459</v>
      </c>
      <c r="L123" s="1"/>
      <c r="M123" s="1"/>
    </row>
    <row r="124" spans="1:13" x14ac:dyDescent="0.2">
      <c r="A124" s="1" t="s">
        <v>126</v>
      </c>
      <c r="B124" s="1">
        <v>0.23680000000000001</v>
      </c>
      <c r="C124" s="1">
        <v>0.38229999999999997</v>
      </c>
      <c r="D124" s="1">
        <v>0.38090000000000002</v>
      </c>
      <c r="E124" s="1">
        <f>C124/D124</f>
        <v>1.0036755053819899</v>
      </c>
      <c r="F124" s="1" t="str">
        <f>IF(B124&lt;0.7,"True","False")</f>
        <v>True</v>
      </c>
      <c r="G124" s="1" t="b">
        <f>IF(OR(E124&gt;1.5,E124&lt;0.5),TRUE,FALSE)</f>
        <v>0</v>
      </c>
      <c r="H124" s="1" t="b">
        <f>IF(AND(E124&lt;1.5,E124&gt;0.5),TRUE,FALSE)</f>
        <v>1</v>
      </c>
      <c r="I124" t="s">
        <v>449</v>
      </c>
      <c r="J124" t="s">
        <v>582</v>
      </c>
      <c r="K124" t="s">
        <v>459</v>
      </c>
      <c r="L124" s="1"/>
      <c r="M124" s="1"/>
    </row>
    <row r="125" spans="1:13" x14ac:dyDescent="0.2">
      <c r="A125" s="1" t="s">
        <v>127</v>
      </c>
      <c r="B125" s="1">
        <v>0.45710000000000001</v>
      </c>
      <c r="C125" s="1">
        <v>0.27400000000000002</v>
      </c>
      <c r="D125" s="1">
        <v>0.26889999999999997</v>
      </c>
      <c r="E125" s="1">
        <f>C125/D125</f>
        <v>1.0189661584232059</v>
      </c>
      <c r="F125" s="1" t="str">
        <f>IF(B125&lt;0.7,"True","False")</f>
        <v>True</v>
      </c>
      <c r="G125" s="1" t="b">
        <f>IF(OR(E125&gt;1.5,E125&lt;0.5),TRUE,FALSE)</f>
        <v>0</v>
      </c>
      <c r="H125" s="1" t="b">
        <f>IF(AND(E125&lt;1.5,E125&gt;0.5),TRUE,FALSE)</f>
        <v>1</v>
      </c>
      <c r="I125" t="s">
        <v>449</v>
      </c>
      <c r="J125" t="s">
        <v>583</v>
      </c>
      <c r="K125" t="s">
        <v>459</v>
      </c>
      <c r="L125" s="1"/>
      <c r="M125" s="1"/>
    </row>
    <row r="126" spans="1:13" x14ac:dyDescent="0.2">
      <c r="A126" s="1" t="s">
        <v>128</v>
      </c>
      <c r="B126" s="1">
        <v>0.99409999999999998</v>
      </c>
      <c r="C126" s="1">
        <v>1.6000000000000001E-3</v>
      </c>
      <c r="D126" s="1">
        <v>4.3E-3</v>
      </c>
      <c r="E126" s="1">
        <f>C126/D126</f>
        <v>0.37209302325581395</v>
      </c>
      <c r="F126" s="1" t="str">
        <f>IF(B126&lt;0.7,"True","False")</f>
        <v>False</v>
      </c>
      <c r="G126" s="1" t="b">
        <f>IF(OR(E126&gt;1.5,E126&lt;0.5),TRUE,FALSE)</f>
        <v>1</v>
      </c>
      <c r="H126" s="1" t="b">
        <f>IF(AND(E126&lt;1.5,E126&gt;0.5),TRUE,FALSE)</f>
        <v>0</v>
      </c>
      <c r="I126" t="s">
        <v>450</v>
      </c>
      <c r="J126" t="s">
        <v>584</v>
      </c>
      <c r="K126" t="s">
        <v>468</v>
      </c>
      <c r="L126" s="1"/>
      <c r="M126" s="1"/>
    </row>
    <row r="127" spans="1:13" x14ac:dyDescent="0.2">
      <c r="A127" s="1" t="s">
        <v>129</v>
      </c>
      <c r="B127" s="1">
        <v>0.98760000000000003</v>
      </c>
      <c r="C127" s="1">
        <v>8.0000000000000004E-4</v>
      </c>
      <c r="D127" s="1">
        <v>1.1599999999999999E-2</v>
      </c>
      <c r="E127" s="1">
        <f>C127/D127</f>
        <v>6.8965517241379323E-2</v>
      </c>
      <c r="F127" s="1" t="str">
        <f>IF(B127&lt;0.7,"True","False")</f>
        <v>False</v>
      </c>
      <c r="G127" s="1" t="b">
        <f>IF(OR(E127&gt;1.5,E127&lt;0.5),TRUE,FALSE)</f>
        <v>1</v>
      </c>
      <c r="H127" s="1" t="b">
        <f>IF(AND(E127&lt;1.5,E127&gt;0.5),TRUE,FALSE)</f>
        <v>0</v>
      </c>
      <c r="I127" t="s">
        <v>450</v>
      </c>
      <c r="J127" t="s">
        <v>585</v>
      </c>
      <c r="K127" t="s">
        <v>468</v>
      </c>
      <c r="L127" s="1"/>
      <c r="M127" s="1"/>
    </row>
    <row r="128" spans="1:13" x14ac:dyDescent="0.2">
      <c r="A128" s="1" t="s">
        <v>130</v>
      </c>
      <c r="B128" s="1">
        <v>0.88280000000000003</v>
      </c>
      <c r="C128" s="1">
        <v>3.5999999999999999E-3</v>
      </c>
      <c r="D128" s="1">
        <v>0.11360000000000001</v>
      </c>
      <c r="E128" s="1">
        <f>C128/D128</f>
        <v>3.1690140845070422E-2</v>
      </c>
      <c r="F128" s="1" t="str">
        <f>IF(B128&lt;0.7,"True","False")</f>
        <v>False</v>
      </c>
      <c r="G128" s="1" t="b">
        <f>IF(OR(E128&gt;1.5,E128&lt;0.5),TRUE,FALSE)</f>
        <v>1</v>
      </c>
      <c r="H128" s="1" t="b">
        <f>IF(AND(E128&lt;1.5,E128&gt;0.5),TRUE,FALSE)</f>
        <v>0</v>
      </c>
      <c r="I128" t="s">
        <v>450</v>
      </c>
      <c r="J128" t="s">
        <v>586</v>
      </c>
      <c r="K128" t="s">
        <v>468</v>
      </c>
      <c r="L128" s="1"/>
      <c r="M128" s="1"/>
    </row>
    <row r="129" spans="1:13" x14ac:dyDescent="0.2">
      <c r="A129" s="1" t="s">
        <v>131</v>
      </c>
      <c r="B129" s="1">
        <v>0.72450000000000003</v>
      </c>
      <c r="C129" s="1">
        <v>6.7000000000000002E-3</v>
      </c>
      <c r="D129" s="1">
        <v>0.26879999999999998</v>
      </c>
      <c r="E129" s="1">
        <f>C129/D129</f>
        <v>2.492559523809524E-2</v>
      </c>
      <c r="F129" s="1" t="str">
        <f>IF(B129&lt;0.7,"True","False")</f>
        <v>False</v>
      </c>
      <c r="G129" s="1" t="b">
        <f>IF(OR(E129&gt;1.5,E129&lt;0.5),TRUE,FALSE)</f>
        <v>1</v>
      </c>
      <c r="H129" s="1" t="b">
        <f>IF(AND(E129&lt;1.5,E129&gt;0.5),TRUE,FALSE)</f>
        <v>0</v>
      </c>
      <c r="I129" t="s">
        <v>450</v>
      </c>
      <c r="J129" t="s">
        <v>587</v>
      </c>
      <c r="K129" t="s">
        <v>468</v>
      </c>
      <c r="L129" s="1"/>
      <c r="M129" s="1"/>
    </row>
    <row r="130" spans="1:13" x14ac:dyDescent="0.2">
      <c r="A130" s="1" t="s">
        <v>132</v>
      </c>
      <c r="B130" s="1">
        <v>0.80120000000000002</v>
      </c>
      <c r="C130" s="1">
        <v>0.1</v>
      </c>
      <c r="D130" s="1">
        <v>9.8799999999999999E-2</v>
      </c>
      <c r="E130" s="1">
        <f>C130/D130</f>
        <v>1.0121457489878543</v>
      </c>
      <c r="F130" s="1" t="str">
        <f>IF(B130&lt;0.7,"True","False")</f>
        <v>False</v>
      </c>
      <c r="G130" s="1" t="b">
        <f>IF(OR(E130&gt;1.5,E130&lt;0.5),TRUE,FALSE)</f>
        <v>0</v>
      </c>
      <c r="H130" s="1" t="b">
        <f>IF(AND(E130&lt;1.5,E130&gt;0.5),TRUE,FALSE)</f>
        <v>1</v>
      </c>
      <c r="I130" t="s">
        <v>449</v>
      </c>
      <c r="J130" t="s">
        <v>588</v>
      </c>
      <c r="K130" t="s">
        <v>459</v>
      </c>
      <c r="L130" s="1"/>
      <c r="M130" s="1"/>
    </row>
    <row r="131" spans="1:13" x14ac:dyDescent="0.2">
      <c r="A131" s="1" t="s">
        <v>133</v>
      </c>
      <c r="B131" s="1">
        <v>0.51449999999999996</v>
      </c>
      <c r="C131" s="1">
        <v>0.2465</v>
      </c>
      <c r="D131" s="1">
        <v>0.23910000000000001</v>
      </c>
      <c r="E131" s="1">
        <f>C131/D131</f>
        <v>1.0309493935591802</v>
      </c>
      <c r="F131" s="1" t="str">
        <f>IF(B131&lt;0.7,"True","False")</f>
        <v>True</v>
      </c>
      <c r="G131" s="1" t="b">
        <f>IF(OR(E131&gt;1.5,E131&lt;0.5),TRUE,FALSE)</f>
        <v>0</v>
      </c>
      <c r="H131" s="1" t="b">
        <f>IF(AND(E131&lt;1.5,E131&gt;0.5),TRUE,FALSE)</f>
        <v>1</v>
      </c>
      <c r="I131" t="s">
        <v>449</v>
      </c>
      <c r="J131" t="s">
        <v>589</v>
      </c>
      <c r="K131" t="s">
        <v>459</v>
      </c>
      <c r="L131" s="1"/>
      <c r="M131" s="1"/>
    </row>
    <row r="132" spans="1:13" x14ac:dyDescent="0.2">
      <c r="A132" s="1" t="s">
        <v>134</v>
      </c>
      <c r="B132" s="1">
        <v>0.39929999999999999</v>
      </c>
      <c r="C132" s="1">
        <v>0.30330000000000001</v>
      </c>
      <c r="D132" s="1">
        <v>0.2974</v>
      </c>
      <c r="E132" s="1">
        <f>C132/D132</f>
        <v>1.019838601210491</v>
      </c>
      <c r="F132" s="1" t="str">
        <f>IF(B132&lt;0.7,"True","False")</f>
        <v>True</v>
      </c>
      <c r="G132" s="1" t="b">
        <f>IF(OR(E132&gt;1.5,E132&lt;0.5),TRUE,FALSE)</f>
        <v>0</v>
      </c>
      <c r="H132" s="1" t="b">
        <f>IF(AND(E132&lt;1.5,E132&gt;0.5),TRUE,FALSE)</f>
        <v>1</v>
      </c>
      <c r="I132" t="s">
        <v>449</v>
      </c>
      <c r="J132" t="s">
        <v>590</v>
      </c>
      <c r="K132" t="s">
        <v>459</v>
      </c>
      <c r="L132" s="1"/>
      <c r="M132" s="1"/>
    </row>
    <row r="133" spans="1:13" x14ac:dyDescent="0.2">
      <c r="A133" s="1" t="s">
        <v>135</v>
      </c>
      <c r="B133" s="1">
        <v>0.3488</v>
      </c>
      <c r="C133" s="1">
        <v>0.32679999999999998</v>
      </c>
      <c r="D133" s="1">
        <v>0.32440000000000002</v>
      </c>
      <c r="E133" s="1">
        <f>C133/D133</f>
        <v>1.007398273736128</v>
      </c>
      <c r="F133" s="1" t="str">
        <f>IF(B133&lt;0.7,"True","False")</f>
        <v>True</v>
      </c>
      <c r="G133" s="1" t="b">
        <f>IF(OR(E133&gt;1.5,E133&lt;0.5),TRUE,FALSE)</f>
        <v>0</v>
      </c>
      <c r="H133" s="1" t="b">
        <f>IF(AND(E133&lt;1.5,E133&gt;0.5),TRUE,FALSE)</f>
        <v>1</v>
      </c>
      <c r="I133" t="s">
        <v>449</v>
      </c>
      <c r="J133" t="s">
        <v>591</v>
      </c>
      <c r="K133" t="s">
        <v>459</v>
      </c>
      <c r="L133" s="1"/>
      <c r="M133" s="1"/>
    </row>
    <row r="134" spans="1:13" x14ac:dyDescent="0.2">
      <c r="A134" s="1" t="s">
        <v>136</v>
      </c>
      <c r="B134" s="1">
        <v>0.61380000000000001</v>
      </c>
      <c r="C134" s="1">
        <v>0.19409999999999999</v>
      </c>
      <c r="D134" s="1">
        <v>0.19220000000000001</v>
      </c>
      <c r="E134" s="1">
        <f>C134/D134</f>
        <v>1.009885535900104</v>
      </c>
      <c r="F134" s="1" t="str">
        <f>IF(B134&lt;0.7,"True","False")</f>
        <v>True</v>
      </c>
      <c r="G134" s="1" t="b">
        <f>IF(OR(E134&gt;1.5,E134&lt;0.5),TRUE,FALSE)</f>
        <v>0</v>
      </c>
      <c r="H134" s="1" t="b">
        <f>IF(AND(E134&lt;1.5,E134&gt;0.5),TRUE,FALSE)</f>
        <v>1</v>
      </c>
      <c r="I134" t="s">
        <v>449</v>
      </c>
      <c r="J134" t="s">
        <v>592</v>
      </c>
      <c r="K134" t="s">
        <v>459</v>
      </c>
      <c r="L134" s="1"/>
      <c r="M134" s="1"/>
    </row>
    <row r="135" spans="1:13" x14ac:dyDescent="0.2">
      <c r="A135" s="1" t="s">
        <v>137</v>
      </c>
      <c r="B135" s="1">
        <v>0.73160000000000003</v>
      </c>
      <c r="C135" s="1">
        <v>0.13389999999999999</v>
      </c>
      <c r="D135" s="1">
        <v>0.1346</v>
      </c>
      <c r="E135" s="1">
        <f>C135/D135</f>
        <v>0.99479940564635949</v>
      </c>
      <c r="F135" s="1" t="str">
        <f>IF(B135&lt;0.7,"True","False")</f>
        <v>False</v>
      </c>
      <c r="G135" s="1" t="b">
        <f>IF(OR(E135&gt;1.5,E135&lt;0.5),TRUE,FALSE)</f>
        <v>0</v>
      </c>
      <c r="H135" s="1" t="b">
        <f>IF(AND(E135&lt;1.5,E135&gt;0.5),TRUE,FALSE)</f>
        <v>1</v>
      </c>
      <c r="I135" t="s">
        <v>449</v>
      </c>
      <c r="J135" t="s">
        <v>593</v>
      </c>
      <c r="K135" t="s">
        <v>459</v>
      </c>
      <c r="L135" s="1"/>
      <c r="M135" s="1"/>
    </row>
    <row r="136" spans="1:13" x14ac:dyDescent="0.2">
      <c r="A136" s="1" t="s">
        <v>138</v>
      </c>
      <c r="B136" s="1">
        <v>0.49459999999999998</v>
      </c>
      <c r="C136" s="1">
        <v>0.255</v>
      </c>
      <c r="D136" s="1">
        <v>0.25040000000000001</v>
      </c>
      <c r="E136" s="1">
        <f>C136/D136</f>
        <v>1.0183706070287539</v>
      </c>
      <c r="F136" s="1" t="str">
        <f>IF(B136&lt;0.7,"True","False")</f>
        <v>True</v>
      </c>
      <c r="G136" s="1" t="b">
        <f>IF(OR(E136&gt;1.5,E136&lt;0.5),TRUE,FALSE)</f>
        <v>0</v>
      </c>
      <c r="H136" s="1" t="b">
        <f>IF(AND(E136&lt;1.5,E136&gt;0.5),TRUE,FALSE)</f>
        <v>1</v>
      </c>
      <c r="I136" t="s">
        <v>449</v>
      </c>
      <c r="J136" t="s">
        <v>594</v>
      </c>
      <c r="K136" t="s">
        <v>459</v>
      </c>
      <c r="L136" s="1"/>
      <c r="M136" s="1"/>
    </row>
    <row r="137" spans="1:13" x14ac:dyDescent="0.2">
      <c r="A137" s="1" t="s">
        <v>139</v>
      </c>
      <c r="B137" s="1">
        <v>0.2041</v>
      </c>
      <c r="C137" s="1">
        <v>0.40050000000000002</v>
      </c>
      <c r="D137" s="1">
        <v>0.39539999999999997</v>
      </c>
      <c r="E137" s="1">
        <f>C137/D137</f>
        <v>1.012898330804249</v>
      </c>
      <c r="F137" s="1" t="str">
        <f>IF(B137&lt;0.7,"True","False")</f>
        <v>True</v>
      </c>
      <c r="G137" s="1" t="b">
        <f>IF(OR(E137&gt;1.5,E137&lt;0.5),TRUE,FALSE)</f>
        <v>0</v>
      </c>
      <c r="H137" s="1" t="b">
        <f>IF(AND(E137&lt;1.5,E137&gt;0.5),TRUE,FALSE)</f>
        <v>1</v>
      </c>
      <c r="I137" t="s">
        <v>449</v>
      </c>
      <c r="J137" t="s">
        <v>595</v>
      </c>
      <c r="K137" t="s">
        <v>459</v>
      </c>
      <c r="L137" s="1"/>
      <c r="M137" s="1"/>
    </row>
    <row r="138" spans="1:13" x14ac:dyDescent="0.2">
      <c r="A138" s="1" t="s">
        <v>140</v>
      </c>
      <c r="B138" s="1">
        <v>0.19350000000000001</v>
      </c>
      <c r="C138" s="1">
        <v>1.26E-2</v>
      </c>
      <c r="D138" s="1">
        <v>0.79400000000000004</v>
      </c>
      <c r="E138" s="1">
        <f>C138/D138</f>
        <v>1.5869017632241814E-2</v>
      </c>
      <c r="F138" s="1" t="str">
        <f>IF(B138&lt;0.7,"True","False")</f>
        <v>True</v>
      </c>
      <c r="G138" s="1" t="b">
        <f>IF(OR(E138&gt;1.5,E138&lt;0.5),TRUE,FALSE)</f>
        <v>1</v>
      </c>
      <c r="H138" s="1" t="b">
        <f>IF(AND(E138&lt;1.5,E138&gt;0.5),TRUE,FALSE)</f>
        <v>0</v>
      </c>
      <c r="I138" t="s">
        <v>450</v>
      </c>
      <c r="J138" t="s">
        <v>596</v>
      </c>
      <c r="K138" t="s">
        <v>468</v>
      </c>
      <c r="L138" s="1"/>
      <c r="M138" s="1"/>
    </row>
    <row r="139" spans="1:13" x14ac:dyDescent="0.2">
      <c r="A139" s="1" t="s">
        <v>141</v>
      </c>
      <c r="B139" s="1">
        <v>0.97309999999999997</v>
      </c>
      <c r="C139" s="1">
        <v>1.34E-2</v>
      </c>
      <c r="D139" s="1">
        <v>1.35E-2</v>
      </c>
      <c r="E139" s="1">
        <f>C139/D139</f>
        <v>0.99259259259259258</v>
      </c>
      <c r="F139" s="1" t="str">
        <f>IF(B139&lt;0.7,"True","False")</f>
        <v>False</v>
      </c>
      <c r="G139" s="1" t="b">
        <f>IF(OR(E139&gt;1.5,E139&lt;0.5),TRUE,FALSE)</f>
        <v>0</v>
      </c>
      <c r="H139" s="1" t="b">
        <f>IF(AND(E139&lt;1.5,E139&gt;0.5),TRUE,FALSE)</f>
        <v>1</v>
      </c>
      <c r="I139" t="s">
        <v>450</v>
      </c>
      <c r="J139" t="s">
        <v>597</v>
      </c>
      <c r="K139" t="s">
        <v>459</v>
      </c>
      <c r="L139" s="1"/>
      <c r="M139" s="1"/>
    </row>
    <row r="140" spans="1:13" x14ac:dyDescent="0.2">
      <c r="A140" s="1" t="s">
        <v>142</v>
      </c>
      <c r="B140" s="1">
        <v>0.4355</v>
      </c>
      <c r="C140" s="1">
        <v>1.41E-2</v>
      </c>
      <c r="D140" s="1">
        <v>0.55030000000000001</v>
      </c>
      <c r="E140" s="1">
        <f>C140/D140</f>
        <v>2.5622387788479011E-2</v>
      </c>
      <c r="F140" s="1" t="str">
        <f>IF(B140&lt;0.7,"True","False")</f>
        <v>True</v>
      </c>
      <c r="G140" s="1" t="b">
        <f>IF(OR(E140&gt;1.5,E140&lt;0.5),TRUE,FALSE)</f>
        <v>1</v>
      </c>
      <c r="H140" s="1" t="b">
        <f>IF(AND(E140&lt;1.5,E140&gt;0.5),TRUE,FALSE)</f>
        <v>0</v>
      </c>
      <c r="I140" t="s">
        <v>450</v>
      </c>
      <c r="J140" t="s">
        <v>598</v>
      </c>
      <c r="K140" t="s">
        <v>468</v>
      </c>
      <c r="L140" s="1"/>
      <c r="M140" s="1"/>
    </row>
    <row r="141" spans="1:13" x14ac:dyDescent="0.2">
      <c r="A141" s="1" t="s">
        <v>143</v>
      </c>
      <c r="B141" s="1">
        <v>0.33529999999999999</v>
      </c>
      <c r="C141" s="1">
        <v>1.15E-2</v>
      </c>
      <c r="D141" s="1">
        <v>0.65329999999999999</v>
      </c>
      <c r="E141" s="1">
        <f>C141/D141</f>
        <v>1.7602938925455381E-2</v>
      </c>
      <c r="F141" s="1" t="str">
        <f>IF(B141&lt;0.7,"True","False")</f>
        <v>True</v>
      </c>
      <c r="G141" s="1" t="b">
        <f>IF(OR(E141&gt;1.5,E141&lt;0.5),TRUE,FALSE)</f>
        <v>1</v>
      </c>
      <c r="H141" s="1" t="b">
        <f>IF(AND(E141&lt;1.5,E141&gt;0.5),TRUE,FALSE)</f>
        <v>0</v>
      </c>
      <c r="I141" t="s">
        <v>450</v>
      </c>
      <c r="J141" t="s">
        <v>599</v>
      </c>
      <c r="K141" t="s">
        <v>468</v>
      </c>
      <c r="L141" s="1"/>
      <c r="M141" s="1"/>
    </row>
    <row r="142" spans="1:13" x14ac:dyDescent="0.2">
      <c r="A142" s="1" t="s">
        <v>144</v>
      </c>
      <c r="B142" s="1">
        <v>0.99560000000000004</v>
      </c>
      <c r="C142" s="1">
        <v>1.4E-3</v>
      </c>
      <c r="D142" s="1">
        <v>3.0999999999999999E-3</v>
      </c>
      <c r="E142" s="1">
        <f>C142/D142</f>
        <v>0.45161290322580644</v>
      </c>
      <c r="F142" s="1" t="str">
        <f>IF(B142&lt;0.7,"True","False")</f>
        <v>False</v>
      </c>
      <c r="G142" s="1" t="b">
        <f>IF(OR(E142&gt;1.5,E142&lt;0.5),TRUE,FALSE)</f>
        <v>1</v>
      </c>
      <c r="H142" s="1" t="b">
        <f>IF(AND(E142&lt;1.5,E142&gt;0.5),TRUE,FALSE)</f>
        <v>0</v>
      </c>
      <c r="I142" t="s">
        <v>450</v>
      </c>
      <c r="J142" t="s">
        <v>600</v>
      </c>
      <c r="K142" t="s">
        <v>468</v>
      </c>
      <c r="L142" s="1"/>
      <c r="M142" s="1"/>
    </row>
    <row r="143" spans="1:13" x14ac:dyDescent="0.2">
      <c r="A143" s="1" t="s">
        <v>145</v>
      </c>
      <c r="B143" s="1">
        <v>0.15340000000000001</v>
      </c>
      <c r="C143" s="1">
        <v>0.4259</v>
      </c>
      <c r="D143" s="1">
        <v>0.42070000000000002</v>
      </c>
      <c r="E143" s="1">
        <f>C143/D143</f>
        <v>1.012360351794628</v>
      </c>
      <c r="F143" s="1" t="str">
        <f>IF(B143&lt;0.7,"True","False")</f>
        <v>True</v>
      </c>
      <c r="G143" s="1" t="b">
        <f>IF(OR(E143&gt;1.5,E143&lt;0.5),TRUE,FALSE)</f>
        <v>0</v>
      </c>
      <c r="H143" s="1" t="b">
        <f>IF(AND(E143&lt;1.5,E143&gt;0.5),TRUE,FALSE)</f>
        <v>1</v>
      </c>
      <c r="I143" t="s">
        <v>449</v>
      </c>
      <c r="J143" t="s">
        <v>601</v>
      </c>
      <c r="K143" t="s">
        <v>459</v>
      </c>
      <c r="L143" s="1"/>
      <c r="M143" s="1"/>
    </row>
    <row r="144" spans="1:13" x14ac:dyDescent="0.2">
      <c r="A144" s="1" t="s">
        <v>146</v>
      </c>
      <c r="B144" s="1">
        <v>0.1885</v>
      </c>
      <c r="C144" s="1">
        <v>0.41099999999999998</v>
      </c>
      <c r="D144" s="1">
        <v>0.40060000000000001</v>
      </c>
      <c r="E144" s="1">
        <f>C144/D144</f>
        <v>1.0259610584123813</v>
      </c>
      <c r="F144" s="1" t="str">
        <f>IF(B144&lt;0.7,"True","False")</f>
        <v>True</v>
      </c>
      <c r="G144" s="1" t="b">
        <f>IF(OR(E144&gt;1.5,E144&lt;0.5),TRUE,FALSE)</f>
        <v>0</v>
      </c>
      <c r="H144" s="1" t="b">
        <f>IF(AND(E144&lt;1.5,E144&gt;0.5),TRUE,FALSE)</f>
        <v>1</v>
      </c>
      <c r="I144" t="s">
        <v>449</v>
      </c>
      <c r="J144" t="s">
        <v>602</v>
      </c>
      <c r="K144" t="s">
        <v>459</v>
      </c>
      <c r="L144" s="1"/>
      <c r="M144" s="1"/>
    </row>
    <row r="145" spans="1:13" x14ac:dyDescent="0.2">
      <c r="A145" s="1" t="s">
        <v>147</v>
      </c>
      <c r="B145" s="1">
        <v>0.36699999999999999</v>
      </c>
      <c r="C145" s="1">
        <v>1.2999999999999999E-2</v>
      </c>
      <c r="D145" s="1">
        <v>0.62009999999999998</v>
      </c>
      <c r="E145" s="1">
        <f>C145/D145</f>
        <v>2.0964360587002098E-2</v>
      </c>
      <c r="F145" s="1" t="str">
        <f>IF(B145&lt;0.7,"True","False")</f>
        <v>True</v>
      </c>
      <c r="G145" s="1" t="b">
        <f>IF(OR(E145&gt;1.5,E145&lt;0.5),TRUE,FALSE)</f>
        <v>1</v>
      </c>
      <c r="H145" s="1" t="b">
        <f>IF(AND(E145&lt;1.5,E145&gt;0.5),TRUE,FALSE)</f>
        <v>0</v>
      </c>
      <c r="I145" t="s">
        <v>450</v>
      </c>
      <c r="J145" t="s">
        <v>603</v>
      </c>
      <c r="K145" t="s">
        <v>468</v>
      </c>
      <c r="L145" s="1"/>
      <c r="M145" s="1"/>
    </row>
    <row r="146" spans="1:13" x14ac:dyDescent="0.2">
      <c r="A146" s="1" t="s">
        <v>148</v>
      </c>
      <c r="B146" s="1">
        <v>7.5700000000000003E-2</v>
      </c>
      <c r="C146" s="1">
        <v>7.4000000000000003E-3</v>
      </c>
      <c r="D146" s="1">
        <v>0.91690000000000005</v>
      </c>
      <c r="E146" s="1">
        <f>C146/D146</f>
        <v>8.0706729196204606E-3</v>
      </c>
      <c r="F146" s="1" t="str">
        <f>IF(B146&lt;0.7,"True","False")</f>
        <v>True</v>
      </c>
      <c r="G146" s="1" t="b">
        <f>IF(OR(E146&gt;1.5,E146&lt;0.5),TRUE,FALSE)</f>
        <v>1</v>
      </c>
      <c r="H146" s="1" t="b">
        <f>IF(AND(E146&lt;1.5,E146&gt;0.5),TRUE,FALSE)</f>
        <v>0</v>
      </c>
      <c r="I146" t="s">
        <v>450</v>
      </c>
      <c r="J146" t="s">
        <v>604</v>
      </c>
      <c r="K146" t="s">
        <v>468</v>
      </c>
      <c r="L146" s="1"/>
      <c r="M146" s="1"/>
    </row>
    <row r="147" spans="1:13" x14ac:dyDescent="0.2">
      <c r="A147" s="1" t="s">
        <v>149</v>
      </c>
      <c r="B147" s="1">
        <v>0.8619</v>
      </c>
      <c r="C147" s="1">
        <v>4.7999999999999996E-3</v>
      </c>
      <c r="D147" s="1">
        <v>0.1333</v>
      </c>
      <c r="E147" s="1">
        <f>C147/D147</f>
        <v>3.6009002250562638E-2</v>
      </c>
      <c r="F147" s="1" t="str">
        <f>IF(B147&lt;0.7,"True","False")</f>
        <v>False</v>
      </c>
      <c r="G147" s="1" t="b">
        <f>IF(OR(E147&gt;1.5,E147&lt;0.5),TRUE,FALSE)</f>
        <v>1</v>
      </c>
      <c r="H147" s="1" t="b">
        <f>IF(AND(E147&lt;1.5,E147&gt;0.5),TRUE,FALSE)</f>
        <v>0</v>
      </c>
      <c r="I147" t="s">
        <v>450</v>
      </c>
      <c r="J147" t="s">
        <v>605</v>
      </c>
      <c r="K147" t="s">
        <v>468</v>
      </c>
      <c r="L147" s="1"/>
      <c r="M147" s="1"/>
    </row>
    <row r="148" spans="1:13" x14ac:dyDescent="0.2">
      <c r="A148" s="1" t="s">
        <v>150</v>
      </c>
      <c r="B148" s="1">
        <v>0.58299999999999996</v>
      </c>
      <c r="C148" s="1">
        <v>0.20899999999999999</v>
      </c>
      <c r="D148" s="1">
        <v>0.20799999999999999</v>
      </c>
      <c r="E148" s="1">
        <f>C148/D148</f>
        <v>1.0048076923076923</v>
      </c>
      <c r="F148" s="1" t="str">
        <f>IF(B148&lt;0.7,"True","False")</f>
        <v>True</v>
      </c>
      <c r="G148" s="1" t="b">
        <f>IF(OR(E148&gt;1.5,E148&lt;0.5),TRUE,FALSE)</f>
        <v>0</v>
      </c>
      <c r="H148" s="1" t="b">
        <f>IF(AND(E148&lt;1.5,E148&gt;0.5),TRUE,FALSE)</f>
        <v>1</v>
      </c>
      <c r="I148" t="s">
        <v>449</v>
      </c>
      <c r="J148" t="s">
        <v>606</v>
      </c>
      <c r="K148" t="s">
        <v>459</v>
      </c>
      <c r="L148" s="1"/>
      <c r="M148" s="1"/>
    </row>
    <row r="149" spans="1:13" x14ac:dyDescent="0.2">
      <c r="A149" s="1" t="s">
        <v>151</v>
      </c>
      <c r="B149" s="1">
        <v>0.2351</v>
      </c>
      <c r="C149" s="1">
        <v>7.4999999999999997E-3</v>
      </c>
      <c r="D149" s="1">
        <v>0.75739999999999996</v>
      </c>
      <c r="E149" s="1">
        <f>C149/D149</f>
        <v>9.9022973329812511E-3</v>
      </c>
      <c r="F149" s="1" t="str">
        <f>IF(B149&lt;0.7,"True","False")</f>
        <v>True</v>
      </c>
      <c r="G149" s="1" t="b">
        <f>IF(OR(E149&gt;1.5,E149&lt;0.5),TRUE,FALSE)</f>
        <v>1</v>
      </c>
      <c r="H149" s="1" t="b">
        <f>IF(AND(E149&lt;1.5,E149&gt;0.5),TRUE,FALSE)</f>
        <v>0</v>
      </c>
      <c r="I149" t="s">
        <v>450</v>
      </c>
      <c r="J149" t="s">
        <v>607</v>
      </c>
      <c r="K149" t="s">
        <v>468</v>
      </c>
      <c r="L149" s="1"/>
      <c r="M149" s="1"/>
    </row>
    <row r="150" spans="1:13" s="3" customFormat="1" x14ac:dyDescent="0.2">
      <c r="A150" s="3" t="s">
        <v>152</v>
      </c>
      <c r="B150" s="3">
        <v>0.9879</v>
      </c>
      <c r="C150" s="3">
        <v>3.5000000000000001E-3</v>
      </c>
      <c r="D150" s="3">
        <v>8.6E-3</v>
      </c>
      <c r="E150" s="3">
        <f>C150/D150</f>
        <v>0.40697674418604651</v>
      </c>
      <c r="F150" s="3" t="str">
        <f>IF(B150&lt;0.7,"True","False")</f>
        <v>False</v>
      </c>
      <c r="G150" s="3" t="b">
        <f>IF(OR(E150&gt;1.5,E150&lt;0.5),TRUE,FALSE)</f>
        <v>1</v>
      </c>
      <c r="H150" s="3" t="b">
        <f>IF(AND(E150&lt;1.5,E150&gt;0.5),TRUE,FALSE)</f>
        <v>0</v>
      </c>
      <c r="I150" s="3" t="s">
        <v>449</v>
      </c>
      <c r="J150" s="3" t="s">
        <v>608</v>
      </c>
      <c r="K150" s="3" t="s">
        <v>468</v>
      </c>
    </row>
    <row r="151" spans="1:13" s="3" customFormat="1" x14ac:dyDescent="0.2">
      <c r="A151" s="3" t="s">
        <v>153</v>
      </c>
      <c r="B151" s="3">
        <v>0.7913</v>
      </c>
      <c r="C151" s="3">
        <v>0.1046</v>
      </c>
      <c r="D151" s="3">
        <v>0.1041</v>
      </c>
      <c r="E151" s="3">
        <f>C151/D151</f>
        <v>1.004803073967339</v>
      </c>
      <c r="F151" s="3" t="str">
        <f>IF(B151&lt;0.7,"True","False")</f>
        <v>False</v>
      </c>
      <c r="G151" s="3" t="b">
        <f>IF(OR(E151&gt;1.5,E151&lt;0.5),TRUE,FALSE)</f>
        <v>0</v>
      </c>
      <c r="H151" s="3" t="b">
        <f>IF(AND(E151&lt;1.5,E151&gt;0.5),TRUE,FALSE)</f>
        <v>1</v>
      </c>
      <c r="I151" s="3" t="s">
        <v>450</v>
      </c>
      <c r="J151" s="3" t="s">
        <v>609</v>
      </c>
      <c r="K151" s="3" t="s">
        <v>459</v>
      </c>
    </row>
    <row r="152" spans="1:13" x14ac:dyDescent="0.2">
      <c r="A152" s="1" t="s">
        <v>154</v>
      </c>
      <c r="B152" s="1">
        <v>0.62670000000000003</v>
      </c>
      <c r="C152" s="1">
        <v>6.7999999999999996E-3</v>
      </c>
      <c r="D152" s="1">
        <v>0.3664</v>
      </c>
      <c r="E152" s="1">
        <f>C152/D152</f>
        <v>1.85589519650655E-2</v>
      </c>
      <c r="F152" s="1" t="str">
        <f>IF(B152&lt;0.7,"True","False")</f>
        <v>True</v>
      </c>
      <c r="G152" s="1" t="b">
        <f>IF(OR(E152&gt;1.5,E152&lt;0.5),TRUE,FALSE)</f>
        <v>1</v>
      </c>
      <c r="H152" s="1" t="b">
        <f>IF(AND(E152&lt;1.5,E152&gt;0.5),TRUE,FALSE)</f>
        <v>0</v>
      </c>
      <c r="I152" t="s">
        <v>450</v>
      </c>
      <c r="J152" t="s">
        <v>610</v>
      </c>
      <c r="K152" t="s">
        <v>468</v>
      </c>
      <c r="L152" s="1"/>
      <c r="M152" s="1"/>
    </row>
    <row r="153" spans="1:13" x14ac:dyDescent="0.2">
      <c r="A153" s="1" t="s">
        <v>155</v>
      </c>
      <c r="B153" s="1">
        <v>0.99460000000000004</v>
      </c>
      <c r="C153" s="1">
        <v>6.9999999999999999E-4</v>
      </c>
      <c r="D153" s="1">
        <v>4.7000000000000002E-3</v>
      </c>
      <c r="E153" s="1">
        <f>C153/D153</f>
        <v>0.14893617021276595</v>
      </c>
      <c r="F153" s="1" t="str">
        <f>IF(B153&lt;0.7,"True","False")</f>
        <v>False</v>
      </c>
      <c r="G153" s="1" t="b">
        <f>IF(OR(E153&gt;1.5,E153&lt;0.5),TRUE,FALSE)</f>
        <v>1</v>
      </c>
      <c r="H153" s="1" t="b">
        <f>IF(AND(E153&lt;1.5,E153&gt;0.5),TRUE,FALSE)</f>
        <v>0</v>
      </c>
      <c r="I153" t="s">
        <v>450</v>
      </c>
      <c r="J153" t="s">
        <v>611</v>
      </c>
      <c r="K153" t="s">
        <v>468</v>
      </c>
      <c r="L153" s="1"/>
      <c r="M153" s="1"/>
    </row>
    <row r="154" spans="1:13" x14ac:dyDescent="0.2">
      <c r="A154" s="1" t="s">
        <v>156</v>
      </c>
      <c r="B154" s="1">
        <v>0.5585</v>
      </c>
      <c r="C154" s="1">
        <v>0.22159999999999999</v>
      </c>
      <c r="D154" s="1">
        <v>0.21990000000000001</v>
      </c>
      <c r="E154" s="1">
        <f>C154/D154</f>
        <v>1.0077307867212368</v>
      </c>
      <c r="F154" s="1" t="str">
        <f>IF(B154&lt;0.7,"True","False")</f>
        <v>True</v>
      </c>
      <c r="G154" s="1" t="b">
        <f>IF(OR(E154&gt;1.5,E154&lt;0.5),TRUE,FALSE)</f>
        <v>0</v>
      </c>
      <c r="H154" s="1" t="b">
        <f>IF(AND(E154&lt;1.5,E154&gt;0.5),TRUE,FALSE)</f>
        <v>1</v>
      </c>
      <c r="I154" t="s">
        <v>449</v>
      </c>
      <c r="J154" t="s">
        <v>612</v>
      </c>
      <c r="K154" t="s">
        <v>459</v>
      </c>
      <c r="L154" s="1"/>
      <c r="M154" s="1"/>
    </row>
    <row r="155" spans="1:13" x14ac:dyDescent="0.2">
      <c r="A155" s="1" t="s">
        <v>157</v>
      </c>
      <c r="B155" s="1">
        <v>0.74590000000000001</v>
      </c>
      <c r="C155" s="1">
        <v>0.128</v>
      </c>
      <c r="D155" s="1">
        <v>0.126</v>
      </c>
      <c r="E155" s="1">
        <f>C155/D155</f>
        <v>1.0158730158730158</v>
      </c>
      <c r="F155" s="1" t="str">
        <f>IF(B155&lt;0.7,"True","False")</f>
        <v>False</v>
      </c>
      <c r="G155" s="1" t="b">
        <f>IF(OR(E155&gt;1.5,E155&lt;0.5),TRUE,FALSE)</f>
        <v>0</v>
      </c>
      <c r="H155" s="1" t="b">
        <f>IF(AND(E155&lt;1.5,E155&gt;0.5),TRUE,FALSE)</f>
        <v>1</v>
      </c>
      <c r="I155" t="s">
        <v>449</v>
      </c>
      <c r="J155" t="s">
        <v>613</v>
      </c>
      <c r="K155" t="s">
        <v>459</v>
      </c>
      <c r="L155" s="1"/>
      <c r="M155" s="1"/>
    </row>
    <row r="156" spans="1:13" x14ac:dyDescent="0.2">
      <c r="A156" s="1" t="s">
        <v>158</v>
      </c>
      <c r="B156" s="1">
        <v>0.53049999999999997</v>
      </c>
      <c r="C156" s="1">
        <v>5.8999999999999999E-3</v>
      </c>
      <c r="D156" s="1">
        <v>0.46360000000000001</v>
      </c>
      <c r="E156" s="1">
        <f>C156/D156</f>
        <v>1.272648835202761E-2</v>
      </c>
      <c r="F156" s="1" t="str">
        <f>IF(B156&lt;0.7,"True","False")</f>
        <v>True</v>
      </c>
      <c r="G156" s="1" t="b">
        <f>IF(OR(E156&gt;1.5,E156&lt;0.5),TRUE,FALSE)</f>
        <v>1</v>
      </c>
      <c r="H156" s="1" t="b">
        <f>IF(AND(E156&lt;1.5,E156&gt;0.5),TRUE,FALSE)</f>
        <v>0</v>
      </c>
      <c r="I156" t="s">
        <v>450</v>
      </c>
      <c r="J156" t="s">
        <v>614</v>
      </c>
      <c r="K156" t="s">
        <v>468</v>
      </c>
      <c r="L156" s="1"/>
      <c r="M156" s="1"/>
    </row>
    <row r="157" spans="1:13" x14ac:dyDescent="0.2">
      <c r="A157" s="1" t="s">
        <v>159</v>
      </c>
      <c r="B157" s="1">
        <v>0.99480000000000002</v>
      </c>
      <c r="C157" s="1">
        <v>1.1999999999999999E-3</v>
      </c>
      <c r="D157" s="1">
        <v>4.0000000000000001E-3</v>
      </c>
      <c r="E157" s="1">
        <f>C157/D157</f>
        <v>0.3</v>
      </c>
      <c r="F157" s="1" t="str">
        <f>IF(B157&lt;0.7,"True","False")</f>
        <v>False</v>
      </c>
      <c r="G157" s="1" t="b">
        <f>IF(OR(E157&gt;1.5,E157&lt;0.5),TRUE,FALSE)</f>
        <v>1</v>
      </c>
      <c r="H157" s="1" t="b">
        <f>IF(AND(E157&lt;1.5,E157&gt;0.5),TRUE,FALSE)</f>
        <v>0</v>
      </c>
      <c r="I157" t="s">
        <v>450</v>
      </c>
      <c r="J157" t="s">
        <v>615</v>
      </c>
      <c r="K157" t="s">
        <v>468</v>
      </c>
      <c r="L157" s="1"/>
      <c r="M157" s="1"/>
    </row>
    <row r="158" spans="1:13" x14ac:dyDescent="0.2">
      <c r="A158" s="1" t="s">
        <v>160</v>
      </c>
      <c r="B158" s="1">
        <v>0.29070000000000001</v>
      </c>
      <c r="C158" s="1">
        <v>0.35520000000000002</v>
      </c>
      <c r="D158" s="1">
        <v>0.35410000000000003</v>
      </c>
      <c r="E158" s="1">
        <f>C158/D158</f>
        <v>1.0031064670996894</v>
      </c>
      <c r="F158" s="1" t="str">
        <f>IF(B158&lt;0.7,"True","False")</f>
        <v>True</v>
      </c>
      <c r="G158" s="1" t="b">
        <f>IF(OR(E158&gt;1.5,E158&lt;0.5),TRUE,FALSE)</f>
        <v>0</v>
      </c>
      <c r="H158" s="1" t="b">
        <f>IF(AND(E158&lt;1.5,E158&gt;0.5),TRUE,FALSE)</f>
        <v>1</v>
      </c>
      <c r="I158" t="s">
        <v>449</v>
      </c>
      <c r="J158" t="s">
        <v>616</v>
      </c>
      <c r="K158" t="s">
        <v>459</v>
      </c>
      <c r="L158" s="1"/>
      <c r="M158" s="1"/>
    </row>
    <row r="159" spans="1:13" x14ac:dyDescent="0.2">
      <c r="A159" s="1" t="s">
        <v>161</v>
      </c>
      <c r="B159" s="1">
        <v>0.72319999999999995</v>
      </c>
      <c r="C159" s="1">
        <v>0.14099999999999999</v>
      </c>
      <c r="D159" s="1">
        <v>0.1358</v>
      </c>
      <c r="E159" s="1">
        <f>C159/D159</f>
        <v>1.0382916053019144</v>
      </c>
      <c r="F159" s="1" t="str">
        <f>IF(B159&lt;0.7,"True","False")</f>
        <v>False</v>
      </c>
      <c r="G159" s="1" t="b">
        <f>IF(OR(E159&gt;1.5,E159&lt;0.5),TRUE,FALSE)</f>
        <v>0</v>
      </c>
      <c r="H159" s="1" t="b">
        <f>IF(AND(E159&lt;1.5,E159&gt;0.5),TRUE,FALSE)</f>
        <v>1</v>
      </c>
      <c r="I159" t="s">
        <v>449</v>
      </c>
      <c r="J159" t="s">
        <v>617</v>
      </c>
      <c r="K159" t="s">
        <v>459</v>
      </c>
      <c r="L159" s="1"/>
      <c r="M159" s="1"/>
    </row>
    <row r="160" spans="1:13" x14ac:dyDescent="0.2">
      <c r="A160" s="1" t="s">
        <v>162</v>
      </c>
      <c r="B160" s="1">
        <v>0.99329999999999996</v>
      </c>
      <c r="C160" s="1">
        <v>3.3999999999999998E-3</v>
      </c>
      <c r="D160" s="1">
        <v>3.3E-3</v>
      </c>
      <c r="E160" s="1">
        <f>C160/D160</f>
        <v>1.0303030303030303</v>
      </c>
      <c r="F160" s="1" t="str">
        <f>IF(B160&lt;0.7,"True","False")</f>
        <v>False</v>
      </c>
      <c r="G160" s="1" t="b">
        <f>IF(OR(E160&gt;1.5,E160&lt;0.5),TRUE,FALSE)</f>
        <v>0</v>
      </c>
      <c r="H160" s="1" t="b">
        <f>IF(AND(E160&lt;1.5,E160&gt;0.5),TRUE,FALSE)</f>
        <v>1</v>
      </c>
      <c r="I160" t="s">
        <v>449</v>
      </c>
      <c r="J160" t="s">
        <v>618</v>
      </c>
      <c r="K160" t="s">
        <v>459</v>
      </c>
      <c r="L160" s="1"/>
      <c r="M160" s="1"/>
    </row>
    <row r="161" spans="1:13" x14ac:dyDescent="0.2">
      <c r="A161" s="1" t="s">
        <v>163</v>
      </c>
      <c r="B161" s="1">
        <v>0.76419999999999999</v>
      </c>
      <c r="C161" s="1">
        <v>0.1174</v>
      </c>
      <c r="D161" s="1">
        <v>0.11840000000000001</v>
      </c>
      <c r="E161" s="1">
        <f>C161/D161</f>
        <v>0.99155405405405406</v>
      </c>
      <c r="F161" s="1" t="str">
        <f>IF(B161&lt;0.7,"True","False")</f>
        <v>False</v>
      </c>
      <c r="G161" s="1" t="b">
        <f>IF(OR(E161&gt;1.5,E161&lt;0.5),TRUE,FALSE)</f>
        <v>0</v>
      </c>
      <c r="H161" s="1" t="b">
        <f>IF(AND(E161&lt;1.5,E161&gt;0.5),TRUE,FALSE)</f>
        <v>1</v>
      </c>
      <c r="I161" t="s">
        <v>449</v>
      </c>
      <c r="J161" t="s">
        <v>619</v>
      </c>
      <c r="K161" t="s">
        <v>459</v>
      </c>
      <c r="L161" s="1"/>
      <c r="M161" s="1"/>
    </row>
    <row r="162" spans="1:13" x14ac:dyDescent="0.2">
      <c r="A162" s="1" t="s">
        <v>164</v>
      </c>
      <c r="B162" s="1">
        <v>0.54290000000000005</v>
      </c>
      <c r="C162" s="1">
        <v>0.2296</v>
      </c>
      <c r="D162" s="1">
        <v>0.22750000000000001</v>
      </c>
      <c r="E162" s="1">
        <f>C162/D162</f>
        <v>1.0092307692307692</v>
      </c>
      <c r="F162" s="1" t="str">
        <f>IF(B162&lt;0.7,"True","False")</f>
        <v>True</v>
      </c>
      <c r="G162" s="1" t="b">
        <f>IF(OR(E162&gt;1.5,E162&lt;0.5),TRUE,FALSE)</f>
        <v>0</v>
      </c>
      <c r="H162" s="1" t="b">
        <f>IF(AND(E162&lt;1.5,E162&gt;0.5),TRUE,FALSE)</f>
        <v>1</v>
      </c>
      <c r="I162" t="s">
        <v>449</v>
      </c>
      <c r="J162" t="s">
        <v>620</v>
      </c>
      <c r="K162" t="s">
        <v>459</v>
      </c>
      <c r="L162" s="1"/>
      <c r="M162" s="1"/>
    </row>
    <row r="163" spans="1:13" x14ac:dyDescent="0.2">
      <c r="A163" s="1" t="s">
        <v>165</v>
      </c>
      <c r="B163" s="1">
        <v>0.254</v>
      </c>
      <c r="C163" s="1">
        <v>0.37419999999999998</v>
      </c>
      <c r="D163" s="1">
        <v>0.37180000000000002</v>
      </c>
      <c r="E163" s="1">
        <f>C163/D163</f>
        <v>1.0064550833781603</v>
      </c>
      <c r="F163" s="1" t="str">
        <f>IF(B163&lt;0.7,"True","False")</f>
        <v>True</v>
      </c>
      <c r="G163" s="1" t="b">
        <f>IF(OR(E163&gt;1.5,E163&lt;0.5),TRUE,FALSE)</f>
        <v>0</v>
      </c>
      <c r="H163" s="1" t="b">
        <f>IF(AND(E163&lt;1.5,E163&gt;0.5),TRUE,FALSE)</f>
        <v>1</v>
      </c>
      <c r="I163" t="s">
        <v>449</v>
      </c>
      <c r="J163" t="s">
        <v>621</v>
      </c>
      <c r="K163" t="s">
        <v>459</v>
      </c>
      <c r="L163" s="1"/>
      <c r="M163" s="1"/>
    </row>
    <row r="164" spans="1:13" x14ac:dyDescent="0.2">
      <c r="A164" s="1" t="s">
        <v>166</v>
      </c>
      <c r="B164" s="1">
        <v>0.60780000000000001</v>
      </c>
      <c r="C164" s="1">
        <v>0.20080000000000001</v>
      </c>
      <c r="D164" s="1">
        <v>0.1913</v>
      </c>
      <c r="E164" s="1">
        <f>C164/D164</f>
        <v>1.0496602195504443</v>
      </c>
      <c r="F164" s="1" t="str">
        <f>IF(B164&lt;0.7,"True","False")</f>
        <v>True</v>
      </c>
      <c r="G164" s="1" t="b">
        <f>IF(OR(E164&gt;1.5,E164&lt;0.5),TRUE,FALSE)</f>
        <v>0</v>
      </c>
      <c r="H164" s="1" t="b">
        <f>IF(AND(E164&lt;1.5,E164&gt;0.5),TRUE,FALSE)</f>
        <v>1</v>
      </c>
      <c r="I164" t="s">
        <v>449</v>
      </c>
      <c r="J164" t="s">
        <v>622</v>
      </c>
      <c r="K164" t="s">
        <v>459</v>
      </c>
      <c r="L164" s="1"/>
      <c r="M164" s="1"/>
    </row>
    <row r="165" spans="1:13" x14ac:dyDescent="0.2">
      <c r="A165" s="1" t="s">
        <v>167</v>
      </c>
      <c r="B165" s="1">
        <v>0.32690000000000002</v>
      </c>
      <c r="C165" s="1">
        <v>0.3427</v>
      </c>
      <c r="D165" s="1">
        <v>0.33040000000000003</v>
      </c>
      <c r="E165" s="1">
        <f>C165/D165</f>
        <v>1.0372276029055689</v>
      </c>
      <c r="F165" s="1" t="str">
        <f>IF(B165&lt;0.7,"True","False")</f>
        <v>True</v>
      </c>
      <c r="G165" s="1" t="b">
        <f>IF(OR(E165&gt;1.5,E165&lt;0.5),TRUE,FALSE)</f>
        <v>0</v>
      </c>
      <c r="H165" s="1" t="b">
        <f>IF(AND(E165&lt;1.5,E165&gt;0.5),TRUE,FALSE)</f>
        <v>1</v>
      </c>
      <c r="I165" t="s">
        <v>449</v>
      </c>
      <c r="J165" t="s">
        <v>623</v>
      </c>
      <c r="K165" t="s">
        <v>459</v>
      </c>
      <c r="L165" s="1"/>
      <c r="M165" s="1"/>
    </row>
    <row r="166" spans="1:13" x14ac:dyDescent="0.2">
      <c r="A166" s="1" t="s">
        <v>168</v>
      </c>
      <c r="B166" s="1">
        <v>0.50880000000000003</v>
      </c>
      <c r="C166" s="1">
        <v>0.24879999999999999</v>
      </c>
      <c r="D166" s="1">
        <v>0.24229999999999999</v>
      </c>
      <c r="E166" s="1">
        <f>C166/D166</f>
        <v>1.0268262484523318</v>
      </c>
      <c r="F166" s="1" t="str">
        <f>IF(B166&lt;0.7,"True","False")</f>
        <v>True</v>
      </c>
      <c r="G166" s="1" t="b">
        <f>IF(OR(E166&gt;1.5,E166&lt;0.5),TRUE,FALSE)</f>
        <v>0</v>
      </c>
      <c r="H166" s="1" t="b">
        <f>IF(AND(E166&lt;1.5,E166&gt;0.5),TRUE,FALSE)</f>
        <v>1</v>
      </c>
      <c r="I166" t="s">
        <v>449</v>
      </c>
      <c r="J166" t="s">
        <v>624</v>
      </c>
      <c r="K166" t="s">
        <v>459</v>
      </c>
      <c r="L166" s="1"/>
      <c r="M166" s="1"/>
    </row>
    <row r="167" spans="1:13" x14ac:dyDescent="0.2">
      <c r="A167" s="1" t="s">
        <v>169</v>
      </c>
      <c r="B167" s="1">
        <v>0.18149999999999999</v>
      </c>
      <c r="C167" s="1">
        <v>0.41339999999999999</v>
      </c>
      <c r="D167" s="1">
        <v>0.4052</v>
      </c>
      <c r="E167" s="1">
        <f>C167/D167</f>
        <v>1.0202369200394867</v>
      </c>
      <c r="F167" s="1" t="str">
        <f>IF(B167&lt;0.7,"True","False")</f>
        <v>True</v>
      </c>
      <c r="G167" s="1" t="b">
        <f>IF(OR(E167&gt;1.5,E167&lt;0.5),TRUE,FALSE)</f>
        <v>0</v>
      </c>
      <c r="H167" s="1" t="b">
        <f>IF(AND(E167&lt;1.5,E167&gt;0.5),TRUE,FALSE)</f>
        <v>1</v>
      </c>
      <c r="I167" t="s">
        <v>449</v>
      </c>
      <c r="J167" t="s">
        <v>625</v>
      </c>
      <c r="K167" t="s">
        <v>459</v>
      </c>
      <c r="L167" s="1"/>
      <c r="M167" s="1"/>
    </row>
    <row r="168" spans="1:13" x14ac:dyDescent="0.2">
      <c r="A168" s="1" t="s">
        <v>170</v>
      </c>
      <c r="B168" s="1">
        <v>0.42799999999999999</v>
      </c>
      <c r="C168" s="1">
        <v>0.28939999999999999</v>
      </c>
      <c r="D168" s="1">
        <v>0.28270000000000001</v>
      </c>
      <c r="E168" s="1">
        <f>C168/D168</f>
        <v>1.0237000353731871</v>
      </c>
      <c r="F168" s="1" t="str">
        <f>IF(B168&lt;0.7,"True","False")</f>
        <v>True</v>
      </c>
      <c r="G168" s="1" t="b">
        <f>IF(OR(E168&gt;1.5,E168&lt;0.5),TRUE,FALSE)</f>
        <v>0</v>
      </c>
      <c r="H168" s="1" t="b">
        <f>IF(AND(E168&lt;1.5,E168&gt;0.5),TRUE,FALSE)</f>
        <v>1</v>
      </c>
      <c r="I168" t="s">
        <v>449</v>
      </c>
      <c r="J168" t="s">
        <v>626</v>
      </c>
      <c r="K168" t="s">
        <v>459</v>
      </c>
      <c r="L168" s="1"/>
      <c r="M168" s="1"/>
    </row>
    <row r="169" spans="1:13" x14ac:dyDescent="0.2">
      <c r="A169" s="1" t="s">
        <v>171</v>
      </c>
      <c r="B169" s="1">
        <v>0.9909</v>
      </c>
      <c r="C169" s="1">
        <v>1.8E-3</v>
      </c>
      <c r="D169" s="1">
        <v>7.4000000000000003E-3</v>
      </c>
      <c r="E169" s="1">
        <f>C169/D169</f>
        <v>0.24324324324324323</v>
      </c>
      <c r="F169" s="1" t="str">
        <f>IF(B169&lt;0.7,"True","False")</f>
        <v>False</v>
      </c>
      <c r="G169" s="1" t="b">
        <f>IF(OR(E169&gt;1.5,E169&lt;0.5),TRUE,FALSE)</f>
        <v>1</v>
      </c>
      <c r="H169" s="1" t="b">
        <f>IF(AND(E169&lt;1.5,E169&gt;0.5),TRUE,FALSE)</f>
        <v>0</v>
      </c>
      <c r="I169" t="s">
        <v>450</v>
      </c>
      <c r="J169" t="s">
        <v>627</v>
      </c>
      <c r="K169" t="s">
        <v>468</v>
      </c>
      <c r="L169" s="1"/>
      <c r="M169" s="1"/>
    </row>
    <row r="170" spans="1:13" x14ac:dyDescent="0.2">
      <c r="A170" s="1" t="s">
        <v>172</v>
      </c>
      <c r="B170" s="1">
        <v>0.99370000000000003</v>
      </c>
      <c r="C170" s="1">
        <v>1.1999999999999999E-3</v>
      </c>
      <c r="D170" s="1">
        <v>5.1000000000000004E-3</v>
      </c>
      <c r="E170" s="1">
        <f>C170/D170</f>
        <v>0.23529411764705879</v>
      </c>
      <c r="F170" s="1" t="str">
        <f>IF(B170&lt;0.7,"True","False")</f>
        <v>False</v>
      </c>
      <c r="G170" s="1" t="b">
        <f>IF(OR(E170&gt;1.5,E170&lt;0.5),TRUE,FALSE)</f>
        <v>1</v>
      </c>
      <c r="H170" s="1" t="b">
        <f>IF(AND(E170&lt;1.5,E170&gt;0.5),TRUE,FALSE)</f>
        <v>0</v>
      </c>
      <c r="I170" t="s">
        <v>450</v>
      </c>
      <c r="J170" t="s">
        <v>628</v>
      </c>
      <c r="K170" t="s">
        <v>468</v>
      </c>
      <c r="L170" s="1"/>
      <c r="M170" s="1"/>
    </row>
    <row r="171" spans="1:13" x14ac:dyDescent="0.2">
      <c r="A171" s="1" t="s">
        <v>173</v>
      </c>
      <c r="B171" s="1">
        <v>0.39240000000000003</v>
      </c>
      <c r="C171" s="1">
        <v>0.30509999999999998</v>
      </c>
      <c r="D171" s="1">
        <v>0.30249999999999999</v>
      </c>
      <c r="E171" s="1">
        <f>C171/D171</f>
        <v>1.0085950413223139</v>
      </c>
      <c r="F171" s="1" t="str">
        <f>IF(B171&lt;0.7,"True","False")</f>
        <v>True</v>
      </c>
      <c r="G171" s="1" t="b">
        <f>IF(OR(E171&gt;1.5,E171&lt;0.5),TRUE,FALSE)</f>
        <v>0</v>
      </c>
      <c r="H171" s="1" t="b">
        <f>IF(AND(E171&lt;1.5,E171&gt;0.5),TRUE,FALSE)</f>
        <v>1</v>
      </c>
      <c r="I171" t="s">
        <v>449</v>
      </c>
      <c r="J171" t="s">
        <v>629</v>
      </c>
      <c r="K171" t="s">
        <v>459</v>
      </c>
      <c r="L171" s="1"/>
      <c r="M171" s="1"/>
    </row>
    <row r="172" spans="1:13" x14ac:dyDescent="0.2">
      <c r="A172" s="1" t="s">
        <v>174</v>
      </c>
      <c r="B172" s="1">
        <v>0.75019999999999998</v>
      </c>
      <c r="C172" s="1">
        <v>0.12640000000000001</v>
      </c>
      <c r="D172" s="1">
        <v>0.1234</v>
      </c>
      <c r="E172" s="1">
        <f>C172/D172</f>
        <v>1.0243111831442464</v>
      </c>
      <c r="F172" s="1" t="str">
        <f>IF(B172&lt;0.7,"True","False")</f>
        <v>False</v>
      </c>
      <c r="G172" s="1" t="b">
        <f>IF(OR(E172&gt;1.5,E172&lt;0.5),TRUE,FALSE)</f>
        <v>0</v>
      </c>
      <c r="H172" s="1" t="b">
        <f>IF(AND(E172&lt;1.5,E172&gt;0.5),TRUE,FALSE)</f>
        <v>1</v>
      </c>
      <c r="I172" t="s">
        <v>449</v>
      </c>
      <c r="J172" t="s">
        <v>630</v>
      </c>
      <c r="K172" t="s">
        <v>459</v>
      </c>
      <c r="L172" s="1"/>
      <c r="M172" s="1"/>
    </row>
    <row r="173" spans="1:13" x14ac:dyDescent="0.2">
      <c r="A173" s="1" t="s">
        <v>175</v>
      </c>
      <c r="B173" s="1">
        <v>0.40689999999999998</v>
      </c>
      <c r="C173" s="1">
        <v>0.2964</v>
      </c>
      <c r="D173" s="1">
        <v>0.29670000000000002</v>
      </c>
      <c r="E173" s="1">
        <f>C173/D173</f>
        <v>0.99898887765419608</v>
      </c>
      <c r="F173" s="1" t="str">
        <f>IF(B173&lt;0.7,"True","False")</f>
        <v>True</v>
      </c>
      <c r="G173" s="1" t="b">
        <f>IF(OR(E173&gt;1.5,E173&lt;0.5),TRUE,FALSE)</f>
        <v>0</v>
      </c>
      <c r="H173" s="1" t="b">
        <f>IF(AND(E173&lt;1.5,E173&gt;0.5),TRUE,FALSE)</f>
        <v>1</v>
      </c>
      <c r="I173" t="s">
        <v>449</v>
      </c>
      <c r="J173" t="s">
        <v>631</v>
      </c>
      <c r="K173" t="s">
        <v>459</v>
      </c>
      <c r="L173" s="1"/>
      <c r="M173" s="1"/>
    </row>
    <row r="174" spans="1:13" x14ac:dyDescent="0.2">
      <c r="A174" s="1" t="s">
        <v>176</v>
      </c>
      <c r="B174" s="1">
        <v>0.44190000000000002</v>
      </c>
      <c r="C174" s="1">
        <v>0.28089999999999998</v>
      </c>
      <c r="D174" s="1">
        <v>0.2772</v>
      </c>
      <c r="E174" s="1">
        <f>C174/D174</f>
        <v>1.0133477633477632</v>
      </c>
      <c r="F174" s="1" t="str">
        <f>IF(B174&lt;0.7,"True","False")</f>
        <v>True</v>
      </c>
      <c r="G174" s="1" t="b">
        <f>IF(OR(E174&gt;1.5,E174&lt;0.5),TRUE,FALSE)</f>
        <v>0</v>
      </c>
      <c r="H174" s="1" t="b">
        <f>IF(AND(E174&lt;1.5,E174&gt;0.5),TRUE,FALSE)</f>
        <v>1</v>
      </c>
      <c r="I174" t="s">
        <v>449</v>
      </c>
      <c r="J174" t="s">
        <v>632</v>
      </c>
      <c r="K174" t="s">
        <v>459</v>
      </c>
      <c r="L174" s="1"/>
      <c r="M174" s="1"/>
    </row>
    <row r="175" spans="1:13" x14ac:dyDescent="0.2">
      <c r="A175" s="1" t="s">
        <v>177</v>
      </c>
      <c r="B175" s="1">
        <v>0.98770000000000002</v>
      </c>
      <c r="C175" s="1">
        <v>6.9999999999999999E-4</v>
      </c>
      <c r="D175" s="1">
        <v>1.1599999999999999E-2</v>
      </c>
      <c r="E175" s="1">
        <f>C175/D175</f>
        <v>6.0344827586206899E-2</v>
      </c>
      <c r="F175" s="1" t="str">
        <f>IF(B175&lt;0.7,"True","False")</f>
        <v>False</v>
      </c>
      <c r="G175" s="1" t="b">
        <f>IF(OR(E175&gt;1.5,E175&lt;0.5),TRUE,FALSE)</f>
        <v>1</v>
      </c>
      <c r="H175" s="1" t="b">
        <f>IF(AND(E175&lt;1.5,E175&gt;0.5),TRUE,FALSE)</f>
        <v>0</v>
      </c>
      <c r="I175" t="s">
        <v>450</v>
      </c>
      <c r="J175" t="s">
        <v>633</v>
      </c>
      <c r="K175" t="s">
        <v>468</v>
      </c>
      <c r="L175" s="1"/>
      <c r="M175" s="1"/>
    </row>
    <row r="176" spans="1:13" x14ac:dyDescent="0.2">
      <c r="A176" s="1" t="s">
        <v>178</v>
      </c>
      <c r="B176" s="1">
        <v>0.99639999999999995</v>
      </c>
      <c r="C176" s="1">
        <v>8.9999999999999998E-4</v>
      </c>
      <c r="D176" s="1">
        <v>2.7000000000000001E-3</v>
      </c>
      <c r="E176" s="1">
        <f>C176/D176</f>
        <v>0.33333333333333331</v>
      </c>
      <c r="F176" s="1" t="str">
        <f>IF(B176&lt;0.7,"True","False")</f>
        <v>False</v>
      </c>
      <c r="G176" s="1" t="b">
        <f>IF(OR(E176&gt;1.5,E176&lt;0.5),TRUE,FALSE)</f>
        <v>1</v>
      </c>
      <c r="H176" s="1" t="b">
        <f>IF(AND(E176&lt;1.5,E176&gt;0.5),TRUE,FALSE)</f>
        <v>0</v>
      </c>
      <c r="I176" t="s">
        <v>450</v>
      </c>
      <c r="J176" t="s">
        <v>634</v>
      </c>
      <c r="K176" t="s">
        <v>468</v>
      </c>
      <c r="L176" s="1"/>
      <c r="M176" s="1"/>
    </row>
    <row r="177" spans="1:13" x14ac:dyDescent="0.2">
      <c r="A177" s="1" t="s">
        <v>179</v>
      </c>
      <c r="B177" s="1">
        <v>0.98670000000000002</v>
      </c>
      <c r="C177" s="1">
        <v>6.7999999999999996E-3</v>
      </c>
      <c r="D177" s="1">
        <v>6.4999999999999997E-3</v>
      </c>
      <c r="E177" s="1">
        <f>C177/D177</f>
        <v>1.0461538461538462</v>
      </c>
      <c r="F177" s="1" t="str">
        <f>IF(B177&lt;0.7,"True","False")</f>
        <v>False</v>
      </c>
      <c r="G177" s="1" t="b">
        <f>IF(OR(E177&gt;1.5,E177&lt;0.5),TRUE,FALSE)</f>
        <v>0</v>
      </c>
      <c r="H177" s="1" t="b">
        <f>IF(AND(E177&lt;1.5,E177&gt;0.5),TRUE,FALSE)</f>
        <v>1</v>
      </c>
      <c r="I177" t="s">
        <v>449</v>
      </c>
      <c r="J177" t="s">
        <v>635</v>
      </c>
      <c r="K177" t="s">
        <v>459</v>
      </c>
      <c r="L177" s="1"/>
      <c r="M177" s="1"/>
    </row>
    <row r="178" spans="1:13" x14ac:dyDescent="0.2">
      <c r="A178" s="1" t="s">
        <v>180</v>
      </c>
      <c r="B178" s="1">
        <v>0.997</v>
      </c>
      <c r="C178" s="1">
        <v>1.6999999999999999E-3</v>
      </c>
      <c r="D178" s="1">
        <v>1.2999999999999999E-3</v>
      </c>
      <c r="E178" s="1">
        <f>C178/D178</f>
        <v>1.3076923076923077</v>
      </c>
      <c r="F178" s="1" t="str">
        <f>IF(B178&lt;0.7,"True","False")</f>
        <v>False</v>
      </c>
      <c r="G178" s="1" t="b">
        <f>IF(OR(E178&gt;1.5,E178&lt;0.5),TRUE,FALSE)</f>
        <v>0</v>
      </c>
      <c r="H178" s="1" t="b">
        <f>IF(AND(E178&lt;1.5,E178&gt;0.5),TRUE,FALSE)</f>
        <v>1</v>
      </c>
      <c r="I178" t="s">
        <v>449</v>
      </c>
      <c r="J178" t="s">
        <v>636</v>
      </c>
      <c r="K178" t="s">
        <v>459</v>
      </c>
      <c r="L178" s="1"/>
      <c r="M178" s="1"/>
    </row>
    <row r="179" spans="1:13" x14ac:dyDescent="0.2">
      <c r="A179" s="1" t="s">
        <v>181</v>
      </c>
      <c r="B179" s="1">
        <v>0.55959999999999999</v>
      </c>
      <c r="C179" s="1">
        <v>0.22159999999999999</v>
      </c>
      <c r="D179" s="1">
        <v>0.21879999999999999</v>
      </c>
      <c r="E179" s="1">
        <f>C179/D179</f>
        <v>1.0127970749542961</v>
      </c>
      <c r="F179" s="1" t="str">
        <f>IF(B179&lt;0.7,"True","False")</f>
        <v>True</v>
      </c>
      <c r="G179" s="1" t="b">
        <f>IF(OR(E179&gt;1.5,E179&lt;0.5),TRUE,FALSE)</f>
        <v>0</v>
      </c>
      <c r="H179" s="1" t="b">
        <f>IF(AND(E179&lt;1.5,E179&gt;0.5),TRUE,FALSE)</f>
        <v>1</v>
      </c>
      <c r="I179" t="s">
        <v>449</v>
      </c>
      <c r="J179" t="s">
        <v>637</v>
      </c>
      <c r="K179" t="s">
        <v>459</v>
      </c>
      <c r="L179" s="1"/>
      <c r="M179" s="1"/>
    </row>
    <row r="180" spans="1:13" x14ac:dyDescent="0.2">
      <c r="A180" s="1" t="s">
        <v>182</v>
      </c>
      <c r="B180" s="1">
        <v>0.63080000000000003</v>
      </c>
      <c r="C180" s="1">
        <v>0.18720000000000001</v>
      </c>
      <c r="D180" s="1">
        <v>0.182</v>
      </c>
      <c r="E180" s="1">
        <f>C180/D180</f>
        <v>1.0285714285714287</v>
      </c>
      <c r="F180" s="1" t="str">
        <f>IF(B180&lt;0.7,"True","False")</f>
        <v>True</v>
      </c>
      <c r="G180" s="1" t="b">
        <f>IF(OR(E180&gt;1.5,E180&lt;0.5),TRUE,FALSE)</f>
        <v>0</v>
      </c>
      <c r="H180" s="1" t="b">
        <f>IF(AND(E180&lt;1.5,E180&gt;0.5),TRUE,FALSE)</f>
        <v>1</v>
      </c>
      <c r="I180" t="s">
        <v>449</v>
      </c>
      <c r="J180" t="s">
        <v>638</v>
      </c>
      <c r="K180" t="s">
        <v>459</v>
      </c>
      <c r="L180" s="1"/>
      <c r="M180" s="1"/>
    </row>
    <row r="181" spans="1:13" x14ac:dyDescent="0.2">
      <c r="A181" s="1" t="s">
        <v>183</v>
      </c>
      <c r="B181" s="1">
        <v>0.99380000000000002</v>
      </c>
      <c r="C181" s="1">
        <v>2.9999999999999997E-4</v>
      </c>
      <c r="D181" s="1">
        <v>6.0000000000000001E-3</v>
      </c>
      <c r="E181" s="1">
        <f>C181/D181</f>
        <v>4.9999999999999996E-2</v>
      </c>
      <c r="F181" s="1" t="str">
        <f>IF(B181&lt;0.7,"True","False")</f>
        <v>False</v>
      </c>
      <c r="G181" s="1" t="b">
        <f>IF(OR(E181&gt;1.5,E181&lt;0.5),TRUE,FALSE)</f>
        <v>1</v>
      </c>
      <c r="H181" s="1" t="b">
        <f>IF(AND(E181&lt;1.5,E181&gt;0.5),TRUE,FALSE)</f>
        <v>0</v>
      </c>
      <c r="I181" t="s">
        <v>450</v>
      </c>
      <c r="J181" t="s">
        <v>639</v>
      </c>
      <c r="K181" t="s">
        <v>468</v>
      </c>
      <c r="L181" s="1"/>
      <c r="M181" s="1"/>
    </row>
    <row r="182" spans="1:13" x14ac:dyDescent="0.2">
      <c r="A182" s="1" t="s">
        <v>184</v>
      </c>
      <c r="B182" s="1">
        <v>0.16400000000000001</v>
      </c>
      <c r="C182" s="1">
        <v>0.4133</v>
      </c>
      <c r="D182" s="1">
        <v>0.42270000000000002</v>
      </c>
      <c r="E182" s="1">
        <f>C182/D182</f>
        <v>0.97776200615093445</v>
      </c>
      <c r="F182" s="1" t="str">
        <f>IF(B182&lt;0.7,"True","False")</f>
        <v>True</v>
      </c>
      <c r="G182" s="1" t="b">
        <f>IF(OR(E182&gt;1.5,E182&lt;0.5),TRUE,FALSE)</f>
        <v>0</v>
      </c>
      <c r="H182" s="1" t="b">
        <f>IF(AND(E182&lt;1.5,E182&gt;0.5),TRUE,FALSE)</f>
        <v>1</v>
      </c>
      <c r="I182" t="s">
        <v>449</v>
      </c>
      <c r="J182" t="s">
        <v>640</v>
      </c>
      <c r="K182" t="s">
        <v>459</v>
      </c>
      <c r="L182" s="1"/>
      <c r="M182" s="1"/>
    </row>
    <row r="183" spans="1:13" x14ac:dyDescent="0.2">
      <c r="A183" s="1" t="s">
        <v>185</v>
      </c>
      <c r="B183" s="1">
        <v>0.16220000000000001</v>
      </c>
      <c r="C183" s="1">
        <v>0.42020000000000002</v>
      </c>
      <c r="D183" s="1">
        <v>0.41749999999999998</v>
      </c>
      <c r="E183" s="1">
        <f>C183/D183</f>
        <v>1.0064670658682635</v>
      </c>
      <c r="F183" s="1" t="str">
        <f>IF(B183&lt;0.7,"True","False")</f>
        <v>True</v>
      </c>
      <c r="G183" s="1" t="b">
        <f>IF(OR(E183&gt;1.5,E183&lt;0.5),TRUE,FALSE)</f>
        <v>0</v>
      </c>
      <c r="H183" s="1" t="b">
        <f>IF(AND(E183&lt;1.5,E183&gt;0.5),TRUE,FALSE)</f>
        <v>1</v>
      </c>
      <c r="I183" t="s">
        <v>449</v>
      </c>
      <c r="J183" t="s">
        <v>641</v>
      </c>
      <c r="K183" t="s">
        <v>459</v>
      </c>
      <c r="L183" s="1"/>
      <c r="M183" s="1"/>
    </row>
    <row r="184" spans="1:13" x14ac:dyDescent="0.2">
      <c r="A184" s="1" t="s">
        <v>186</v>
      </c>
      <c r="B184" s="1">
        <v>0.32500000000000001</v>
      </c>
      <c r="C184" s="1">
        <v>0.34050000000000002</v>
      </c>
      <c r="D184" s="1">
        <v>0.33450000000000002</v>
      </c>
      <c r="E184" s="1">
        <f>C184/D184</f>
        <v>1.0179372197309418</v>
      </c>
      <c r="F184" s="1" t="str">
        <f>IF(B184&lt;0.7,"True","False")</f>
        <v>True</v>
      </c>
      <c r="G184" s="1" t="b">
        <f>IF(OR(E184&gt;1.5,E184&lt;0.5),TRUE,FALSE)</f>
        <v>0</v>
      </c>
      <c r="H184" s="1" t="b">
        <f>IF(AND(E184&lt;1.5,E184&gt;0.5),TRUE,FALSE)</f>
        <v>1</v>
      </c>
      <c r="I184" t="s">
        <v>449</v>
      </c>
      <c r="J184" t="s">
        <v>642</v>
      </c>
      <c r="K184" t="s">
        <v>459</v>
      </c>
      <c r="L184" s="1"/>
      <c r="M184" s="1"/>
    </row>
    <row r="185" spans="1:13" x14ac:dyDescent="0.2">
      <c r="A185" s="1" t="s">
        <v>187</v>
      </c>
      <c r="B185" s="1">
        <v>0.33589999999999998</v>
      </c>
      <c r="C185" s="1">
        <v>0.33489999999999998</v>
      </c>
      <c r="D185" s="1">
        <v>0.32919999999999999</v>
      </c>
      <c r="E185" s="1">
        <f>C185/D185</f>
        <v>1.0173147023086269</v>
      </c>
      <c r="F185" s="1" t="str">
        <f>IF(B185&lt;0.7,"True","False")</f>
        <v>True</v>
      </c>
      <c r="G185" s="1" t="b">
        <f>IF(OR(E185&gt;1.5,E185&lt;0.5),TRUE,FALSE)</f>
        <v>0</v>
      </c>
      <c r="H185" s="1" t="b">
        <f>IF(AND(E185&lt;1.5,E185&gt;0.5),TRUE,FALSE)</f>
        <v>1</v>
      </c>
      <c r="I185" t="s">
        <v>449</v>
      </c>
      <c r="J185" t="s">
        <v>643</v>
      </c>
      <c r="K185" t="s">
        <v>459</v>
      </c>
      <c r="L185" s="1"/>
      <c r="M185" s="1"/>
    </row>
    <row r="186" spans="1:13" x14ac:dyDescent="0.2">
      <c r="A186" s="1" t="s">
        <v>188</v>
      </c>
      <c r="B186" s="1">
        <v>0.443</v>
      </c>
      <c r="C186" s="1">
        <v>4.8999999999999998E-3</v>
      </c>
      <c r="D186" s="1">
        <v>0.55210000000000004</v>
      </c>
      <c r="E186" s="1">
        <f>C186/D186</f>
        <v>8.8752037674334344E-3</v>
      </c>
      <c r="F186" s="1" t="str">
        <f>IF(B186&lt;0.7,"True","False")</f>
        <v>True</v>
      </c>
      <c r="G186" s="1" t="b">
        <f>IF(OR(E186&gt;1.5,E186&lt;0.5),TRUE,FALSE)</f>
        <v>1</v>
      </c>
      <c r="H186" s="1" t="b">
        <f>IF(AND(E186&lt;1.5,E186&gt;0.5),TRUE,FALSE)</f>
        <v>0</v>
      </c>
      <c r="I186" t="s">
        <v>450</v>
      </c>
      <c r="J186" t="s">
        <v>644</v>
      </c>
      <c r="K186" t="s">
        <v>468</v>
      </c>
      <c r="L186" s="1"/>
      <c r="M186" s="1"/>
    </row>
    <row r="187" spans="1:13" x14ac:dyDescent="0.2">
      <c r="A187" s="1" t="s">
        <v>189</v>
      </c>
      <c r="B187" s="1">
        <v>0.53290000000000004</v>
      </c>
      <c r="C187" s="1">
        <v>4.4999999999999997E-3</v>
      </c>
      <c r="D187" s="1">
        <v>0.4627</v>
      </c>
      <c r="E187" s="1">
        <f>C187/D187</f>
        <v>9.7255240976874859E-3</v>
      </c>
      <c r="F187" s="1" t="str">
        <f>IF(B187&lt;0.7,"True","False")</f>
        <v>True</v>
      </c>
      <c r="G187" s="1" t="b">
        <f>IF(OR(E187&gt;1.5,E187&lt;0.5),TRUE,FALSE)</f>
        <v>1</v>
      </c>
      <c r="H187" s="1" t="b">
        <f>IF(AND(E187&lt;1.5,E187&gt;0.5),TRUE,FALSE)</f>
        <v>0</v>
      </c>
      <c r="I187" t="s">
        <v>450</v>
      </c>
      <c r="J187" t="s">
        <v>645</v>
      </c>
      <c r="K187" t="s">
        <v>468</v>
      </c>
      <c r="L187" s="1"/>
      <c r="M187" s="1"/>
    </row>
    <row r="188" spans="1:13" x14ac:dyDescent="0.2">
      <c r="A188" s="1" t="s">
        <v>190</v>
      </c>
      <c r="B188" s="1">
        <v>0.51519999999999999</v>
      </c>
      <c r="C188" s="1">
        <v>7.6E-3</v>
      </c>
      <c r="D188" s="1">
        <v>0.47720000000000001</v>
      </c>
      <c r="E188" s="1">
        <f>C188/D188</f>
        <v>1.5926236378876781E-2</v>
      </c>
      <c r="F188" s="1" t="str">
        <f>IF(B188&lt;0.7,"True","False")</f>
        <v>True</v>
      </c>
      <c r="G188" s="1" t="b">
        <f>IF(OR(E188&gt;1.5,E188&lt;0.5),TRUE,FALSE)</f>
        <v>1</v>
      </c>
      <c r="H188" s="1" t="b">
        <f>IF(AND(E188&lt;1.5,E188&gt;0.5),TRUE,FALSE)</f>
        <v>0</v>
      </c>
      <c r="I188" t="s">
        <v>450</v>
      </c>
      <c r="J188" t="s">
        <v>646</v>
      </c>
      <c r="K188" t="s">
        <v>468</v>
      </c>
      <c r="L188" s="1"/>
      <c r="M188" s="1"/>
    </row>
    <row r="189" spans="1:13" x14ac:dyDescent="0.2">
      <c r="A189" s="1" t="s">
        <v>191</v>
      </c>
      <c r="B189" s="1">
        <v>0.38650000000000001</v>
      </c>
      <c r="C189" s="1">
        <v>1.4800000000000001E-2</v>
      </c>
      <c r="D189" s="1">
        <v>0.59870000000000001</v>
      </c>
      <c r="E189" s="1">
        <f>C189/D189</f>
        <v>2.4720227158844164E-2</v>
      </c>
      <c r="F189" s="1" t="str">
        <f>IF(B189&lt;0.7,"True","False")</f>
        <v>True</v>
      </c>
      <c r="G189" s="1" t="b">
        <f>IF(OR(E189&gt;1.5,E189&lt;0.5),TRUE,FALSE)</f>
        <v>1</v>
      </c>
      <c r="H189" s="1" t="b">
        <f>IF(AND(E189&lt;1.5,E189&gt;0.5),TRUE,FALSE)</f>
        <v>0</v>
      </c>
      <c r="I189" t="s">
        <v>450</v>
      </c>
      <c r="J189" t="s">
        <v>647</v>
      </c>
      <c r="K189" t="s">
        <v>468</v>
      </c>
      <c r="L189" s="1"/>
      <c r="M189" s="1"/>
    </row>
    <row r="190" spans="1:13" x14ac:dyDescent="0.2">
      <c r="A190" s="1" t="s">
        <v>192</v>
      </c>
      <c r="B190" s="1">
        <v>0.43969999999999998</v>
      </c>
      <c r="C190" s="1">
        <v>1.7299999999999999E-2</v>
      </c>
      <c r="D190" s="1">
        <v>0.54300000000000004</v>
      </c>
      <c r="E190" s="1">
        <f>C190/D190</f>
        <v>3.1860036832412522E-2</v>
      </c>
      <c r="F190" s="1" t="str">
        <f>IF(B190&lt;0.7,"True","False")</f>
        <v>True</v>
      </c>
      <c r="G190" s="1" t="b">
        <f>IF(OR(E190&gt;1.5,E190&lt;0.5),TRUE,FALSE)</f>
        <v>1</v>
      </c>
      <c r="H190" s="1" t="b">
        <f>IF(AND(E190&lt;1.5,E190&gt;0.5),TRUE,FALSE)</f>
        <v>0</v>
      </c>
      <c r="I190" t="s">
        <v>450</v>
      </c>
      <c r="J190" t="s">
        <v>648</v>
      </c>
      <c r="K190" t="s">
        <v>468</v>
      </c>
      <c r="L190" s="1"/>
      <c r="M190" s="1"/>
    </row>
    <row r="191" spans="1:13" x14ac:dyDescent="0.2">
      <c r="A191" s="1" t="s">
        <v>193</v>
      </c>
      <c r="B191" s="1">
        <v>0.45669999999999999</v>
      </c>
      <c r="C191" s="1">
        <v>0.27339999999999998</v>
      </c>
      <c r="D191" s="1">
        <v>0.26989999999999997</v>
      </c>
      <c r="E191" s="1">
        <f>C191/D191</f>
        <v>1.0129677658391998</v>
      </c>
      <c r="F191" s="1" t="str">
        <f>IF(B191&lt;0.7,"True","False")</f>
        <v>True</v>
      </c>
      <c r="G191" s="1" t="b">
        <f>IF(OR(E191&gt;1.5,E191&lt;0.5),TRUE,FALSE)</f>
        <v>0</v>
      </c>
      <c r="H191" s="1" t="b">
        <f>IF(AND(E191&lt;1.5,E191&gt;0.5),TRUE,FALSE)</f>
        <v>1</v>
      </c>
      <c r="I191" t="s">
        <v>449</v>
      </c>
      <c r="J191" t="s">
        <v>649</v>
      </c>
      <c r="K191" t="s">
        <v>459</v>
      </c>
      <c r="L191" s="1"/>
      <c r="M191" s="1"/>
    </row>
    <row r="192" spans="1:13" x14ac:dyDescent="0.2">
      <c r="A192" s="1" t="s">
        <v>194</v>
      </c>
      <c r="B192" s="1">
        <v>0.63949999999999996</v>
      </c>
      <c r="C192" s="1">
        <v>0.18090000000000001</v>
      </c>
      <c r="D192" s="1">
        <v>0.17960000000000001</v>
      </c>
      <c r="E192" s="1">
        <f>C192/D192</f>
        <v>1.0072383073496658</v>
      </c>
      <c r="F192" s="1" t="str">
        <f>IF(B192&lt;0.7,"True","False")</f>
        <v>True</v>
      </c>
      <c r="G192" s="1" t="b">
        <f>IF(OR(E192&gt;1.5,E192&lt;0.5),TRUE,FALSE)</f>
        <v>0</v>
      </c>
      <c r="H192" s="1" t="b">
        <f>IF(AND(E192&lt;1.5,E192&gt;0.5),TRUE,FALSE)</f>
        <v>1</v>
      </c>
      <c r="I192" t="s">
        <v>449</v>
      </c>
      <c r="J192" t="s">
        <v>650</v>
      </c>
      <c r="K192" t="s">
        <v>459</v>
      </c>
      <c r="L192" s="1"/>
      <c r="M192" s="1"/>
    </row>
    <row r="193" spans="1:13" x14ac:dyDescent="0.2">
      <c r="A193" s="1" t="s">
        <v>195</v>
      </c>
      <c r="B193" s="1">
        <v>0.22500000000000001</v>
      </c>
      <c r="C193" s="1">
        <v>0.3886</v>
      </c>
      <c r="D193" s="1">
        <v>0.38629999999999998</v>
      </c>
      <c r="E193" s="1">
        <f>C193/D193</f>
        <v>1.0059539218224178</v>
      </c>
      <c r="F193" s="1" t="str">
        <f>IF(B193&lt;0.7,"True","False")</f>
        <v>True</v>
      </c>
      <c r="G193" s="1" t="b">
        <f>IF(OR(E193&gt;1.5,E193&lt;0.5),TRUE,FALSE)</f>
        <v>0</v>
      </c>
      <c r="H193" s="1" t="b">
        <f>IF(AND(E193&lt;1.5,E193&gt;0.5),TRUE,FALSE)</f>
        <v>1</v>
      </c>
      <c r="I193" t="s">
        <v>449</v>
      </c>
      <c r="J193" t="s">
        <v>651</v>
      </c>
      <c r="K193" t="s">
        <v>459</v>
      </c>
      <c r="L193" s="1"/>
      <c r="M193" s="1"/>
    </row>
    <row r="194" spans="1:13" x14ac:dyDescent="0.2">
      <c r="A194" s="1" t="s">
        <v>196</v>
      </c>
      <c r="B194" s="1">
        <v>0.2218</v>
      </c>
      <c r="C194" s="1">
        <v>0.39479999999999998</v>
      </c>
      <c r="D194" s="1">
        <v>0.38340000000000002</v>
      </c>
      <c r="E194" s="1">
        <f>C194/D194</f>
        <v>1.0297339593114241</v>
      </c>
      <c r="F194" s="1" t="str">
        <f>IF(B194&lt;0.7,"True","False")</f>
        <v>True</v>
      </c>
      <c r="G194" s="1" t="b">
        <f>IF(OR(E194&gt;1.5,E194&lt;0.5),TRUE,FALSE)</f>
        <v>0</v>
      </c>
      <c r="H194" s="1" t="b">
        <f>IF(AND(E194&lt;1.5,E194&gt;0.5),TRUE,FALSE)</f>
        <v>1</v>
      </c>
      <c r="I194" t="s">
        <v>449</v>
      </c>
      <c r="J194" t="s">
        <v>652</v>
      </c>
      <c r="K194" t="s">
        <v>459</v>
      </c>
      <c r="L194" s="1"/>
      <c r="M194" s="1"/>
    </row>
    <row r="195" spans="1:13" x14ac:dyDescent="0.2">
      <c r="A195" s="1" t="s">
        <v>197</v>
      </c>
      <c r="B195" s="1">
        <v>0.98829999999999996</v>
      </c>
      <c r="C195" s="1">
        <v>7.1000000000000004E-3</v>
      </c>
      <c r="D195" s="1">
        <v>4.5999999999999999E-3</v>
      </c>
      <c r="E195" s="1">
        <f>C195/D195</f>
        <v>1.5434782608695654</v>
      </c>
      <c r="F195" s="1" t="str">
        <f>IF(B195&lt;0.7,"True","False")</f>
        <v>False</v>
      </c>
      <c r="G195" s="1" t="b">
        <f>IF(OR(E195&gt;1.5,E195&lt;0.5),TRUE,FALSE)</f>
        <v>1</v>
      </c>
      <c r="H195" s="1" t="b">
        <f>IF(AND(E195&lt;1.5,E195&gt;0.5),TRUE,FALSE)</f>
        <v>0</v>
      </c>
      <c r="I195" t="s">
        <v>449</v>
      </c>
      <c r="J195" t="s">
        <v>653</v>
      </c>
      <c r="K195" t="s">
        <v>459</v>
      </c>
      <c r="L195" s="1"/>
      <c r="M195" s="1"/>
    </row>
    <row r="196" spans="1:13" x14ac:dyDescent="0.2">
      <c r="A196" s="1" t="s">
        <v>198</v>
      </c>
      <c r="B196" s="1">
        <v>0.95279999999999998</v>
      </c>
      <c r="C196" s="1">
        <v>2.4899999999999999E-2</v>
      </c>
      <c r="D196" s="1">
        <v>2.23E-2</v>
      </c>
      <c r="E196" s="1">
        <f>C196/D196</f>
        <v>1.116591928251121</v>
      </c>
      <c r="F196" s="1" t="str">
        <f>IF(B196&lt;0.7,"True","False")</f>
        <v>False</v>
      </c>
      <c r="G196" s="1" t="b">
        <f>IF(OR(E196&gt;1.5,E196&lt;0.5),TRUE,FALSE)</f>
        <v>0</v>
      </c>
      <c r="H196" s="1" t="b">
        <f>IF(AND(E196&lt;1.5,E196&gt;0.5),TRUE,FALSE)</f>
        <v>1</v>
      </c>
      <c r="I196" t="s">
        <v>449</v>
      </c>
      <c r="J196" t="s">
        <v>654</v>
      </c>
      <c r="K196" t="s">
        <v>459</v>
      </c>
      <c r="L196" s="1"/>
      <c r="M196" s="1"/>
    </row>
    <row r="197" spans="1:13" x14ac:dyDescent="0.2">
      <c r="A197" s="1" t="s">
        <v>199</v>
      </c>
      <c r="B197" s="1">
        <v>0.98719999999999997</v>
      </c>
      <c r="C197" s="1">
        <v>1.6000000000000001E-3</v>
      </c>
      <c r="D197" s="1">
        <v>1.11E-2</v>
      </c>
      <c r="E197" s="1">
        <f>C197/D197</f>
        <v>0.14414414414414414</v>
      </c>
      <c r="F197" s="1" t="str">
        <f>IF(B197&lt;0.7,"True","False")</f>
        <v>False</v>
      </c>
      <c r="G197" s="1" t="b">
        <f>IF(OR(E197&gt;1.5,E197&lt;0.5),TRUE,FALSE)</f>
        <v>1</v>
      </c>
      <c r="H197" s="1" t="b">
        <f>IF(AND(E197&lt;1.5,E197&gt;0.5),TRUE,FALSE)</f>
        <v>0</v>
      </c>
      <c r="I197" t="s">
        <v>450</v>
      </c>
      <c r="J197" t="s">
        <v>655</v>
      </c>
      <c r="K197" t="s">
        <v>468</v>
      </c>
      <c r="L197" s="1"/>
      <c r="M197" s="1"/>
    </row>
    <row r="198" spans="1:13" x14ac:dyDescent="0.2">
      <c r="A198" s="1" t="s">
        <v>200</v>
      </c>
      <c r="B198" s="1">
        <v>0.99539999999999995</v>
      </c>
      <c r="C198" s="1">
        <v>1.6000000000000001E-3</v>
      </c>
      <c r="D198" s="1">
        <v>3.0000000000000001E-3</v>
      </c>
      <c r="E198" s="1">
        <f>C198/D198</f>
        <v>0.53333333333333333</v>
      </c>
      <c r="F198" s="1" t="str">
        <f>IF(B198&lt;0.7,"True","False")</f>
        <v>False</v>
      </c>
      <c r="G198" s="1" t="b">
        <f>IF(OR(E198&gt;1.5,E198&lt;0.5),TRUE,FALSE)</f>
        <v>0</v>
      </c>
      <c r="H198" s="1" t="b">
        <f>IF(AND(E198&lt;1.5,E198&gt;0.5),TRUE,FALSE)</f>
        <v>1</v>
      </c>
      <c r="I198" t="s">
        <v>450</v>
      </c>
      <c r="J198" t="s">
        <v>656</v>
      </c>
      <c r="K198" t="s">
        <v>468</v>
      </c>
      <c r="L198" s="1"/>
      <c r="M198" s="1"/>
    </row>
    <row r="199" spans="1:13" x14ac:dyDescent="0.2">
      <c r="A199" s="1" t="s">
        <v>201</v>
      </c>
      <c r="B199" s="1">
        <v>0.19520000000000001</v>
      </c>
      <c r="C199" s="1">
        <v>1.2E-2</v>
      </c>
      <c r="D199" s="1">
        <v>0.79279999999999995</v>
      </c>
      <c r="E199" s="1">
        <f>C199/D199</f>
        <v>1.5136226034308781E-2</v>
      </c>
      <c r="F199" s="1" t="str">
        <f>IF(B199&lt;0.7,"True","False")</f>
        <v>True</v>
      </c>
      <c r="G199" s="1" t="b">
        <f>IF(OR(E199&gt;1.5,E199&lt;0.5),TRUE,FALSE)</f>
        <v>1</v>
      </c>
      <c r="H199" s="1" t="b">
        <f>IF(AND(E199&lt;1.5,E199&gt;0.5),TRUE,FALSE)</f>
        <v>0</v>
      </c>
      <c r="I199" t="s">
        <v>450</v>
      </c>
      <c r="J199" t="s">
        <v>657</v>
      </c>
      <c r="K199" t="s">
        <v>468</v>
      </c>
      <c r="L199" s="1"/>
      <c r="M199" s="1"/>
    </row>
    <row r="200" spans="1:13" x14ac:dyDescent="0.2">
      <c r="A200" s="1" t="s">
        <v>202</v>
      </c>
      <c r="B200" s="1">
        <v>0.75390000000000001</v>
      </c>
      <c r="C200" s="1">
        <v>4.4999999999999997E-3</v>
      </c>
      <c r="D200" s="1">
        <v>0.24160000000000001</v>
      </c>
      <c r="E200" s="1">
        <f>C200/D200</f>
        <v>1.8625827814569534E-2</v>
      </c>
      <c r="F200" s="1" t="str">
        <f>IF(B200&lt;0.7,"True","False")</f>
        <v>False</v>
      </c>
      <c r="G200" s="1" t="b">
        <f>IF(OR(E200&gt;1.5,E200&lt;0.5),TRUE,FALSE)</f>
        <v>1</v>
      </c>
      <c r="H200" s="1" t="b">
        <f>IF(AND(E200&lt;1.5,E200&gt;0.5),TRUE,FALSE)</f>
        <v>0</v>
      </c>
      <c r="I200" t="s">
        <v>450</v>
      </c>
      <c r="J200" t="s">
        <v>658</v>
      </c>
      <c r="K200" t="s">
        <v>468</v>
      </c>
      <c r="L200" s="1"/>
      <c r="M200" s="1"/>
    </row>
    <row r="201" spans="1:13" x14ac:dyDescent="0.2">
      <c r="A201" s="1" t="s">
        <v>203</v>
      </c>
      <c r="B201" s="1">
        <v>0.97809999999999997</v>
      </c>
      <c r="C201" s="1">
        <v>1.0699999999999999E-2</v>
      </c>
      <c r="D201" s="1">
        <v>1.12E-2</v>
      </c>
      <c r="E201" s="1">
        <f>C201/D201</f>
        <v>0.95535714285714279</v>
      </c>
      <c r="F201" s="1" t="str">
        <f>IF(B201&lt;0.7,"True","False")</f>
        <v>False</v>
      </c>
      <c r="G201" s="1" t="b">
        <f>IF(OR(E201&gt;1.5,E201&lt;0.5),TRUE,FALSE)</f>
        <v>0</v>
      </c>
      <c r="H201" s="1" t="b">
        <f>IF(AND(E201&lt;1.5,E201&gt;0.5),TRUE,FALSE)</f>
        <v>1</v>
      </c>
      <c r="I201" t="s">
        <v>449</v>
      </c>
      <c r="J201" t="s">
        <v>659</v>
      </c>
      <c r="K201" t="s">
        <v>459</v>
      </c>
      <c r="L201" s="1"/>
      <c r="M201" s="1"/>
    </row>
    <row r="202" spans="1:13" x14ac:dyDescent="0.2">
      <c r="A202" s="1" t="s">
        <v>204</v>
      </c>
      <c r="B202" s="1">
        <v>0.996</v>
      </c>
      <c r="C202" s="1">
        <v>2.3E-3</v>
      </c>
      <c r="D202" s="1">
        <v>1.6000000000000001E-3</v>
      </c>
      <c r="E202" s="1">
        <f>C202/D202</f>
        <v>1.4375</v>
      </c>
      <c r="F202" s="1" t="str">
        <f>IF(B202&lt;0.7,"True","False")</f>
        <v>False</v>
      </c>
      <c r="G202" s="1" t="b">
        <f>IF(OR(E202&gt;1.5,E202&lt;0.5),TRUE,FALSE)</f>
        <v>0</v>
      </c>
      <c r="H202" s="1" t="b">
        <f>IF(AND(E202&lt;1.5,E202&gt;0.5),TRUE,FALSE)</f>
        <v>1</v>
      </c>
      <c r="I202" t="s">
        <v>449</v>
      </c>
      <c r="J202" t="s">
        <v>660</v>
      </c>
      <c r="K202" t="s">
        <v>459</v>
      </c>
      <c r="L202" s="1"/>
      <c r="M202" s="1"/>
    </row>
    <row r="203" spans="1:13" x14ac:dyDescent="0.2">
      <c r="A203" s="1" t="s">
        <v>205</v>
      </c>
      <c r="B203" s="1">
        <v>0.98950000000000005</v>
      </c>
      <c r="C203" s="1">
        <v>2E-3</v>
      </c>
      <c r="D203" s="1">
        <v>8.3999999999999995E-3</v>
      </c>
      <c r="E203" s="1">
        <f>C203/D203</f>
        <v>0.23809523809523811</v>
      </c>
      <c r="F203" s="1" t="str">
        <f>IF(B203&lt;0.7,"True","False")</f>
        <v>False</v>
      </c>
      <c r="G203" s="1" t="b">
        <f>IF(OR(E203&gt;1.5,E203&lt;0.5),TRUE,FALSE)</f>
        <v>1</v>
      </c>
      <c r="H203" s="1" t="b">
        <f>IF(AND(E203&lt;1.5,E203&gt;0.5),TRUE,FALSE)</f>
        <v>0</v>
      </c>
      <c r="I203" t="s">
        <v>450</v>
      </c>
      <c r="J203" t="s">
        <v>661</v>
      </c>
      <c r="K203" t="s">
        <v>468</v>
      </c>
      <c r="L203" s="1"/>
      <c r="M203" s="1"/>
    </row>
    <row r="204" spans="1:13" x14ac:dyDescent="0.2">
      <c r="A204" s="1" t="s">
        <v>206</v>
      </c>
      <c r="B204" s="1">
        <v>0.99470000000000003</v>
      </c>
      <c r="C204" s="1">
        <v>4.0000000000000002E-4</v>
      </c>
      <c r="D204" s="1">
        <v>4.7999999999999996E-3</v>
      </c>
      <c r="E204" s="1">
        <f>C204/D204</f>
        <v>8.3333333333333343E-2</v>
      </c>
      <c r="F204" s="1" t="str">
        <f>IF(B204&lt;0.7,"True","False")</f>
        <v>False</v>
      </c>
      <c r="G204" s="1" t="b">
        <f>IF(OR(E204&gt;1.5,E204&lt;0.5),TRUE,FALSE)</f>
        <v>1</v>
      </c>
      <c r="H204" s="1" t="b">
        <f>IF(AND(E204&lt;1.5,E204&gt;0.5),TRUE,FALSE)</f>
        <v>0</v>
      </c>
      <c r="I204" t="s">
        <v>450</v>
      </c>
      <c r="J204" t="s">
        <v>662</v>
      </c>
      <c r="K204" t="s">
        <v>468</v>
      </c>
      <c r="L204" s="1"/>
      <c r="M204" s="1"/>
    </row>
    <row r="205" spans="1:13" x14ac:dyDescent="0.2">
      <c r="A205" s="1" t="s">
        <v>207</v>
      </c>
      <c r="B205" s="1">
        <v>0.2389</v>
      </c>
      <c r="C205" s="1">
        <v>0.3831</v>
      </c>
      <c r="D205" s="1">
        <v>0.378</v>
      </c>
      <c r="E205" s="1">
        <f>C205/D205</f>
        <v>1.0134920634920634</v>
      </c>
      <c r="F205" s="1" t="str">
        <f>IF(B205&lt;0.7,"True","False")</f>
        <v>True</v>
      </c>
      <c r="G205" s="1" t="b">
        <f>IF(OR(E205&gt;1.5,E205&lt;0.5),TRUE,FALSE)</f>
        <v>0</v>
      </c>
      <c r="H205" s="1" t="b">
        <f>IF(AND(E205&lt;1.5,E205&gt;0.5),TRUE,FALSE)</f>
        <v>1</v>
      </c>
      <c r="I205" t="s">
        <v>449</v>
      </c>
      <c r="J205" t="s">
        <v>663</v>
      </c>
      <c r="K205" t="s">
        <v>459</v>
      </c>
      <c r="L205" s="1"/>
      <c r="M205" s="1"/>
    </row>
    <row r="206" spans="1:13" x14ac:dyDescent="0.2">
      <c r="A206" s="1" t="s">
        <v>208</v>
      </c>
      <c r="B206" s="1">
        <v>0.31769999999999998</v>
      </c>
      <c r="C206" s="1">
        <v>0.34339999999999998</v>
      </c>
      <c r="D206" s="1">
        <v>0.33889999999999998</v>
      </c>
      <c r="E206" s="1">
        <f>C206/D206</f>
        <v>1.0132782531720272</v>
      </c>
      <c r="F206" s="1" t="str">
        <f>IF(B206&lt;0.7,"True","False")</f>
        <v>True</v>
      </c>
      <c r="G206" s="1" t="b">
        <f>IF(OR(E206&gt;1.5,E206&lt;0.5),TRUE,FALSE)</f>
        <v>0</v>
      </c>
      <c r="H206" s="1" t="b">
        <f>IF(AND(E206&lt;1.5,E206&gt;0.5),TRUE,FALSE)</f>
        <v>1</v>
      </c>
      <c r="I206" t="s">
        <v>449</v>
      </c>
      <c r="J206" t="s">
        <v>664</v>
      </c>
      <c r="K206" t="s">
        <v>459</v>
      </c>
      <c r="L206" s="1"/>
      <c r="M206" s="1"/>
    </row>
    <row r="207" spans="1:13" x14ac:dyDescent="0.2">
      <c r="A207" s="1" t="s">
        <v>209</v>
      </c>
      <c r="B207" s="1">
        <v>0.56620000000000004</v>
      </c>
      <c r="C207" s="1">
        <v>0.21690000000000001</v>
      </c>
      <c r="D207" s="1">
        <v>0.217</v>
      </c>
      <c r="E207" s="1">
        <f>C207/D207</f>
        <v>0.99953917050691254</v>
      </c>
      <c r="F207" s="1" t="str">
        <f>IF(B207&lt;0.7,"True","False")</f>
        <v>True</v>
      </c>
      <c r="G207" s="1" t="b">
        <f>IF(OR(E207&gt;1.5,E207&lt;0.5),TRUE,FALSE)</f>
        <v>0</v>
      </c>
      <c r="H207" s="1" t="b">
        <f>IF(AND(E207&lt;1.5,E207&gt;0.5),TRUE,FALSE)</f>
        <v>1</v>
      </c>
      <c r="I207" t="s">
        <v>449</v>
      </c>
      <c r="J207" t="s">
        <v>665</v>
      </c>
      <c r="K207" t="s">
        <v>459</v>
      </c>
      <c r="L207" s="1"/>
      <c r="M207" s="1"/>
    </row>
    <row r="208" spans="1:13" x14ac:dyDescent="0.2">
      <c r="A208" s="1" t="s">
        <v>210</v>
      </c>
      <c r="B208" s="1">
        <v>0.39800000000000002</v>
      </c>
      <c r="C208" s="1">
        <v>0.3039</v>
      </c>
      <c r="D208" s="1">
        <v>0.29809999999999998</v>
      </c>
      <c r="E208" s="1">
        <f>C208/D208</f>
        <v>1.0194565582019457</v>
      </c>
      <c r="F208" s="1" t="str">
        <f>IF(B208&lt;0.7,"True","False")</f>
        <v>True</v>
      </c>
      <c r="G208" s="1" t="b">
        <f>IF(OR(E208&gt;1.5,E208&lt;0.5),TRUE,FALSE)</f>
        <v>0</v>
      </c>
      <c r="H208" s="1" t="b">
        <f>IF(AND(E208&lt;1.5,E208&gt;0.5),TRUE,FALSE)</f>
        <v>1</v>
      </c>
      <c r="I208" t="s">
        <v>449</v>
      </c>
      <c r="J208" t="s">
        <v>666</v>
      </c>
      <c r="K208" t="s">
        <v>459</v>
      </c>
      <c r="L208" s="1"/>
      <c r="M208" s="1"/>
    </row>
    <row r="209" spans="1:13" x14ac:dyDescent="0.2">
      <c r="A209" s="1" t="s">
        <v>211</v>
      </c>
      <c r="B209" s="1">
        <v>0.58809999999999996</v>
      </c>
      <c r="C209" s="1">
        <v>7.4999999999999997E-3</v>
      </c>
      <c r="D209" s="1">
        <v>0.40450000000000003</v>
      </c>
      <c r="E209" s="1">
        <f>C209/D209</f>
        <v>1.8541409147095178E-2</v>
      </c>
      <c r="F209" s="1" t="str">
        <f>IF(B209&lt;0.7,"True","False")</f>
        <v>True</v>
      </c>
      <c r="G209" s="1" t="b">
        <f>IF(OR(E209&gt;1.5,E209&lt;0.5),TRUE,FALSE)</f>
        <v>1</v>
      </c>
      <c r="H209" s="1" t="b">
        <f>IF(AND(E209&lt;1.5,E209&gt;0.5),TRUE,FALSE)</f>
        <v>0</v>
      </c>
      <c r="I209" t="s">
        <v>450</v>
      </c>
      <c r="J209" t="s">
        <v>667</v>
      </c>
      <c r="K209" t="s">
        <v>468</v>
      </c>
      <c r="L209" s="1"/>
      <c r="M209" s="1"/>
    </row>
    <row r="210" spans="1:13" x14ac:dyDescent="0.2">
      <c r="A210" s="1" t="s">
        <v>212</v>
      </c>
      <c r="B210" s="1">
        <v>0.72929999999999995</v>
      </c>
      <c r="C210" s="1">
        <v>4.0000000000000001E-3</v>
      </c>
      <c r="D210" s="1">
        <v>0.26669999999999999</v>
      </c>
      <c r="E210" s="1">
        <f>C210/D210</f>
        <v>1.4998125234345707E-2</v>
      </c>
      <c r="F210" s="1" t="str">
        <f>IF(B210&lt;0.7,"True","False")</f>
        <v>False</v>
      </c>
      <c r="G210" s="1" t="b">
        <f>IF(OR(E210&gt;1.5,E210&lt;0.5),TRUE,FALSE)</f>
        <v>1</v>
      </c>
      <c r="H210" s="1" t="b">
        <f>IF(AND(E210&lt;1.5,E210&gt;0.5),TRUE,FALSE)</f>
        <v>0</v>
      </c>
      <c r="I210" t="s">
        <v>450</v>
      </c>
      <c r="J210" t="s">
        <v>668</v>
      </c>
      <c r="K210" t="s">
        <v>468</v>
      </c>
      <c r="L210" s="1"/>
      <c r="M210" s="1"/>
    </row>
    <row r="211" spans="1:13" x14ac:dyDescent="0.2">
      <c r="A211" s="1" t="s">
        <v>213</v>
      </c>
      <c r="B211" s="1">
        <v>0.98929999999999996</v>
      </c>
      <c r="C211" s="1">
        <v>5.4999999999999997E-3</v>
      </c>
      <c r="D211" s="1">
        <v>5.1999999999999998E-3</v>
      </c>
      <c r="E211" s="1">
        <f>C211/D211</f>
        <v>1.0576923076923077</v>
      </c>
      <c r="F211" s="1" t="str">
        <f>IF(B211&lt;0.7,"True","False")</f>
        <v>False</v>
      </c>
      <c r="G211" s="1" t="b">
        <f>IF(OR(E211&gt;1.5,E211&lt;0.5),TRUE,FALSE)</f>
        <v>0</v>
      </c>
      <c r="H211" s="1" t="b">
        <f>IF(AND(E211&lt;1.5,E211&gt;0.5),TRUE,FALSE)</f>
        <v>1</v>
      </c>
      <c r="I211" t="s">
        <v>449</v>
      </c>
      <c r="J211" t="s">
        <v>669</v>
      </c>
      <c r="K211" t="s">
        <v>459</v>
      </c>
      <c r="L211" s="1"/>
      <c r="M211" s="1"/>
    </row>
    <row r="212" spans="1:13" x14ac:dyDescent="0.2">
      <c r="A212" s="1" t="s">
        <v>214</v>
      </c>
      <c r="B212" s="1">
        <v>0.99180000000000001</v>
      </c>
      <c r="C212" s="1">
        <v>4.4000000000000003E-3</v>
      </c>
      <c r="D212" s="1">
        <v>3.8E-3</v>
      </c>
      <c r="E212" s="1">
        <f>C212/D212</f>
        <v>1.1578947368421053</v>
      </c>
      <c r="F212" s="1" t="str">
        <f>IF(B212&lt;0.7,"True","False")</f>
        <v>False</v>
      </c>
      <c r="G212" s="1" t="b">
        <f>IF(OR(E212&gt;1.5,E212&lt;0.5),TRUE,FALSE)</f>
        <v>0</v>
      </c>
      <c r="H212" s="1" t="b">
        <f>IF(AND(E212&lt;1.5,E212&gt;0.5),TRUE,FALSE)</f>
        <v>1</v>
      </c>
      <c r="I212" t="s">
        <v>449</v>
      </c>
      <c r="J212" t="s">
        <v>670</v>
      </c>
      <c r="K212" t="s">
        <v>459</v>
      </c>
      <c r="L212" s="1"/>
      <c r="M212" s="1"/>
    </row>
    <row r="213" spans="1:13" x14ac:dyDescent="0.2">
      <c r="A213" s="1" t="s">
        <v>215</v>
      </c>
      <c r="B213" s="1">
        <v>0.28599999999999998</v>
      </c>
      <c r="C213" s="1">
        <v>0.35849999999999999</v>
      </c>
      <c r="D213" s="1">
        <v>0.35549999999999998</v>
      </c>
      <c r="E213" s="1">
        <f>C213/D213</f>
        <v>1.0084388185654007</v>
      </c>
      <c r="F213" s="1" t="str">
        <f>IF(B213&lt;0.7,"True","False")</f>
        <v>True</v>
      </c>
      <c r="G213" s="1" t="b">
        <f>IF(OR(E213&gt;1.5,E213&lt;0.5),TRUE,FALSE)</f>
        <v>0</v>
      </c>
      <c r="H213" s="1" t="b">
        <f>IF(AND(E213&lt;1.5,E213&gt;0.5),TRUE,FALSE)</f>
        <v>1</v>
      </c>
      <c r="I213" t="s">
        <v>449</v>
      </c>
      <c r="J213" t="s">
        <v>671</v>
      </c>
      <c r="K213" t="s">
        <v>459</v>
      </c>
      <c r="L213" s="1"/>
      <c r="M213" s="1"/>
    </row>
    <row r="214" spans="1:13" x14ac:dyDescent="0.2">
      <c r="A214" s="1" t="s">
        <v>216</v>
      </c>
      <c r="B214" s="1">
        <v>0.62649999999999995</v>
      </c>
      <c r="C214" s="1">
        <v>0.18709999999999999</v>
      </c>
      <c r="D214" s="1">
        <v>0.18640000000000001</v>
      </c>
      <c r="E214" s="1">
        <f>C214/D214</f>
        <v>1.0037553648068669</v>
      </c>
      <c r="F214" s="1" t="str">
        <f>IF(B214&lt;0.7,"True","False")</f>
        <v>True</v>
      </c>
      <c r="G214" s="1" t="b">
        <f>IF(OR(E214&gt;1.5,E214&lt;0.5),TRUE,FALSE)</f>
        <v>0</v>
      </c>
      <c r="H214" s="1" t="b">
        <f>IF(AND(E214&lt;1.5,E214&gt;0.5),TRUE,FALSE)</f>
        <v>1</v>
      </c>
      <c r="I214" t="s">
        <v>449</v>
      </c>
      <c r="J214" t="s">
        <v>672</v>
      </c>
      <c r="K214" t="s">
        <v>459</v>
      </c>
      <c r="L214" s="1"/>
      <c r="M214" s="1"/>
    </row>
    <row r="215" spans="1:13" x14ac:dyDescent="0.2">
      <c r="A215" s="1" t="s">
        <v>217</v>
      </c>
      <c r="B215" s="1">
        <v>0.99099999999999999</v>
      </c>
      <c r="C215" s="1">
        <v>2.8999999999999998E-3</v>
      </c>
      <c r="D215" s="1">
        <v>6.1000000000000004E-3</v>
      </c>
      <c r="E215" s="1">
        <f>C215/D215</f>
        <v>0.47540983606557369</v>
      </c>
      <c r="F215" s="1" t="str">
        <f>IF(B215&lt;0.7,"True","False")</f>
        <v>False</v>
      </c>
      <c r="G215" s="1" t="b">
        <f>IF(OR(E215&gt;1.5,E215&lt;0.5),TRUE,FALSE)</f>
        <v>1</v>
      </c>
      <c r="H215" s="1" t="b">
        <f>IF(AND(E215&lt;1.5,E215&gt;0.5),TRUE,FALSE)</f>
        <v>0</v>
      </c>
      <c r="I215" t="s">
        <v>450</v>
      </c>
      <c r="J215" t="s">
        <v>673</v>
      </c>
      <c r="K215" t="s">
        <v>468</v>
      </c>
      <c r="L215" s="1"/>
      <c r="M215" s="1"/>
    </row>
    <row r="216" spans="1:13" x14ac:dyDescent="0.2">
      <c r="A216" s="1" t="s">
        <v>218</v>
      </c>
      <c r="B216" s="1">
        <v>0.99029999999999996</v>
      </c>
      <c r="C216" s="1">
        <v>2.8E-3</v>
      </c>
      <c r="D216" s="1">
        <v>6.8999999999999999E-3</v>
      </c>
      <c r="E216" s="1">
        <f>C216/D216</f>
        <v>0.40579710144927539</v>
      </c>
      <c r="F216" s="1" t="str">
        <f>IF(B216&lt;0.7,"True","False")</f>
        <v>False</v>
      </c>
      <c r="G216" s="1" t="b">
        <f>IF(OR(E216&gt;1.5,E216&lt;0.5),TRUE,FALSE)</f>
        <v>1</v>
      </c>
      <c r="H216" s="1" t="b">
        <f>IF(AND(E216&lt;1.5,E216&gt;0.5),TRUE,FALSE)</f>
        <v>0</v>
      </c>
      <c r="I216" t="s">
        <v>450</v>
      </c>
      <c r="J216" t="s">
        <v>674</v>
      </c>
      <c r="K216" t="s">
        <v>468</v>
      </c>
      <c r="L216" s="1"/>
      <c r="M216" s="1"/>
    </row>
    <row r="217" spans="1:13" x14ac:dyDescent="0.2">
      <c r="A217" s="1" t="s">
        <v>219</v>
      </c>
      <c r="B217" s="1">
        <v>0.99390000000000001</v>
      </c>
      <c r="C217" s="1">
        <v>1.9E-3</v>
      </c>
      <c r="D217" s="1">
        <v>4.1999999999999997E-3</v>
      </c>
      <c r="E217" s="1">
        <f>C217/D217</f>
        <v>0.45238095238095238</v>
      </c>
      <c r="F217" s="1" t="str">
        <f>IF(B217&lt;0.7,"True","False")</f>
        <v>False</v>
      </c>
      <c r="G217" s="1" t="b">
        <f>IF(OR(E217&gt;1.5,E217&lt;0.5),TRUE,FALSE)</f>
        <v>1</v>
      </c>
      <c r="H217" s="1" t="b">
        <f>IF(AND(E217&lt;1.5,E217&gt;0.5),TRUE,FALSE)</f>
        <v>0</v>
      </c>
      <c r="I217" t="s">
        <v>450</v>
      </c>
      <c r="J217" t="s">
        <v>675</v>
      </c>
      <c r="K217" t="s">
        <v>468</v>
      </c>
      <c r="L217" s="1"/>
      <c r="M217" s="1"/>
    </row>
    <row r="218" spans="1:13" x14ac:dyDescent="0.2">
      <c r="A218" s="1" t="s">
        <v>220</v>
      </c>
      <c r="B218" s="1">
        <v>0.27250000000000002</v>
      </c>
      <c r="C218" s="1">
        <v>0.3649</v>
      </c>
      <c r="D218" s="1">
        <v>0.36259999999999998</v>
      </c>
      <c r="E218" s="1">
        <f>C218/D218</f>
        <v>1.0063430777716493</v>
      </c>
      <c r="F218" s="1" t="str">
        <f>IF(B218&lt;0.7,"True","False")</f>
        <v>True</v>
      </c>
      <c r="G218" s="1" t="b">
        <f>IF(OR(E218&gt;1.5,E218&lt;0.5),TRUE,FALSE)</f>
        <v>0</v>
      </c>
      <c r="H218" s="1" t="b">
        <f>IF(AND(E218&lt;1.5,E218&gt;0.5),TRUE,FALSE)</f>
        <v>1</v>
      </c>
      <c r="I218" t="s">
        <v>449</v>
      </c>
      <c r="J218" t="s">
        <v>676</v>
      </c>
      <c r="K218" t="s">
        <v>459</v>
      </c>
      <c r="L218" s="1"/>
      <c r="M218" s="1"/>
    </row>
    <row r="219" spans="1:13" x14ac:dyDescent="0.2">
      <c r="A219" s="1" t="s">
        <v>221</v>
      </c>
      <c r="B219" s="1">
        <v>0.5454</v>
      </c>
      <c r="C219" s="1">
        <v>0.22670000000000001</v>
      </c>
      <c r="D219" s="1">
        <v>0.22789999999999999</v>
      </c>
      <c r="E219" s="1">
        <f>C219/D219</f>
        <v>0.9947345326897763</v>
      </c>
      <c r="F219" s="1" t="str">
        <f>IF(B219&lt;0.7,"True","False")</f>
        <v>True</v>
      </c>
      <c r="G219" s="1" t="b">
        <f>IF(OR(E219&gt;1.5,E219&lt;0.5),TRUE,FALSE)</f>
        <v>0</v>
      </c>
      <c r="H219" s="1" t="b">
        <f>IF(AND(E219&lt;1.5,E219&gt;0.5),TRUE,FALSE)</f>
        <v>1</v>
      </c>
      <c r="I219" t="s">
        <v>449</v>
      </c>
      <c r="J219" t="s">
        <v>677</v>
      </c>
      <c r="K219" t="s">
        <v>459</v>
      </c>
      <c r="L219" s="1"/>
      <c r="M219" s="1"/>
    </row>
    <row r="220" spans="1:13" x14ac:dyDescent="0.2">
      <c r="A220" s="1" t="s">
        <v>222</v>
      </c>
      <c r="B220" s="1">
        <v>0.20799999999999999</v>
      </c>
      <c r="C220" s="1">
        <v>0.3952</v>
      </c>
      <c r="D220" s="1">
        <v>0.3967</v>
      </c>
      <c r="E220" s="1">
        <f>C220/D220</f>
        <v>0.996218805142425</v>
      </c>
      <c r="F220" s="1" t="str">
        <f>IF(B220&lt;0.7,"True","False")</f>
        <v>True</v>
      </c>
      <c r="G220" s="1" t="b">
        <f>IF(OR(E220&gt;1.5,E220&lt;0.5),TRUE,FALSE)</f>
        <v>0</v>
      </c>
      <c r="H220" s="1" t="b">
        <f>IF(AND(E220&lt;1.5,E220&gt;0.5),TRUE,FALSE)</f>
        <v>1</v>
      </c>
      <c r="I220" t="s">
        <v>449</v>
      </c>
      <c r="J220" t="s">
        <v>678</v>
      </c>
      <c r="K220" t="s">
        <v>459</v>
      </c>
      <c r="L220" s="1"/>
      <c r="M220" s="1"/>
    </row>
    <row r="221" spans="1:13" x14ac:dyDescent="0.2">
      <c r="A221" s="1" t="s">
        <v>223</v>
      </c>
      <c r="B221" s="1">
        <v>0.57889999999999997</v>
      </c>
      <c r="C221" s="1">
        <v>0.2112</v>
      </c>
      <c r="D221" s="1">
        <v>0.2099</v>
      </c>
      <c r="E221" s="1">
        <f>C221/D221</f>
        <v>1.0061934254406861</v>
      </c>
      <c r="F221" s="1" t="str">
        <f>IF(B221&lt;0.7,"True","False")</f>
        <v>True</v>
      </c>
      <c r="G221" s="1" t="b">
        <f>IF(OR(E221&gt;1.5,E221&lt;0.5),TRUE,FALSE)</f>
        <v>0</v>
      </c>
      <c r="H221" s="1" t="b">
        <f>IF(AND(E221&lt;1.5,E221&gt;0.5),TRUE,FALSE)</f>
        <v>1</v>
      </c>
      <c r="I221" t="s">
        <v>449</v>
      </c>
      <c r="J221" t="s">
        <v>679</v>
      </c>
      <c r="K221" t="s">
        <v>459</v>
      </c>
      <c r="L221" s="1"/>
      <c r="M221" s="1"/>
    </row>
    <row r="222" spans="1:13" x14ac:dyDescent="0.2">
      <c r="A222" s="1" t="s">
        <v>224</v>
      </c>
      <c r="B222" s="1">
        <v>0.55220000000000002</v>
      </c>
      <c r="C222" s="1">
        <v>6.7000000000000002E-3</v>
      </c>
      <c r="D222" s="1">
        <v>0.44119999999999998</v>
      </c>
      <c r="E222" s="1">
        <f>C222/D222</f>
        <v>1.5185856754306438E-2</v>
      </c>
      <c r="F222" s="1" t="str">
        <f>IF(B222&lt;0.7,"True","False")</f>
        <v>True</v>
      </c>
      <c r="G222" s="1" t="b">
        <f>IF(OR(E222&gt;1.5,E222&lt;0.5),TRUE,FALSE)</f>
        <v>1</v>
      </c>
      <c r="H222" s="1" t="b">
        <f>IF(AND(E222&lt;1.5,E222&gt;0.5),TRUE,FALSE)</f>
        <v>0</v>
      </c>
      <c r="I222" t="s">
        <v>450</v>
      </c>
      <c r="J222" t="s">
        <v>680</v>
      </c>
      <c r="K222" t="s">
        <v>468</v>
      </c>
      <c r="L222" s="1"/>
      <c r="M222" s="1"/>
    </row>
    <row r="223" spans="1:13" x14ac:dyDescent="0.2">
      <c r="A223" s="1" t="s">
        <v>225</v>
      </c>
      <c r="B223" s="1">
        <v>0.99750000000000005</v>
      </c>
      <c r="C223" s="1">
        <v>2.9999999999999997E-4</v>
      </c>
      <c r="D223" s="1">
        <v>2.0999999999999999E-3</v>
      </c>
      <c r="E223" s="1">
        <f>C223/D223</f>
        <v>0.14285714285714285</v>
      </c>
      <c r="F223" s="1" t="str">
        <f>IF(B223&lt;0.7,"True","False")</f>
        <v>False</v>
      </c>
      <c r="G223" s="1" t="b">
        <f>IF(OR(E223&gt;1.5,E223&lt;0.5),TRUE,FALSE)</f>
        <v>1</v>
      </c>
      <c r="H223" s="1" t="b">
        <f>IF(AND(E223&lt;1.5,E223&gt;0.5),TRUE,FALSE)</f>
        <v>0</v>
      </c>
      <c r="I223" t="s">
        <v>450</v>
      </c>
      <c r="J223" t="s">
        <v>681</v>
      </c>
      <c r="K223" t="s">
        <v>468</v>
      </c>
      <c r="L223" s="1"/>
      <c r="M223" s="1"/>
    </row>
    <row r="224" spans="1:13" x14ac:dyDescent="0.2">
      <c r="A224" s="1" t="s">
        <v>226</v>
      </c>
      <c r="B224" s="1">
        <v>0.29049999999999998</v>
      </c>
      <c r="C224" s="1">
        <v>0.35880000000000001</v>
      </c>
      <c r="D224" s="1">
        <v>0.3508</v>
      </c>
      <c r="E224" s="1">
        <f>C224/D224</f>
        <v>1.0228050171037628</v>
      </c>
      <c r="F224" s="1" t="str">
        <f>IF(B224&lt;0.7,"True","False")</f>
        <v>True</v>
      </c>
      <c r="G224" s="1" t="b">
        <f>IF(OR(E224&gt;1.5,E224&lt;0.5),TRUE,FALSE)</f>
        <v>0</v>
      </c>
      <c r="H224" s="1" t="b">
        <f>IF(AND(E224&lt;1.5,E224&gt;0.5),TRUE,FALSE)</f>
        <v>1</v>
      </c>
      <c r="I224" t="s">
        <v>449</v>
      </c>
      <c r="J224" t="s">
        <v>682</v>
      </c>
      <c r="K224" t="s">
        <v>459</v>
      </c>
      <c r="L224" s="1"/>
      <c r="M224" s="1"/>
    </row>
    <row r="225" spans="1:13" x14ac:dyDescent="0.2">
      <c r="A225" s="1" t="s">
        <v>227</v>
      </c>
      <c r="B225" s="1">
        <v>0.53990000000000005</v>
      </c>
      <c r="C225" s="1">
        <v>0.23150000000000001</v>
      </c>
      <c r="D225" s="1">
        <v>0.2286</v>
      </c>
      <c r="E225" s="1">
        <f>C225/D225</f>
        <v>1.0126859142607174</v>
      </c>
      <c r="F225" s="1" t="str">
        <f>IF(B225&lt;0.7,"True","False")</f>
        <v>True</v>
      </c>
      <c r="G225" s="1" t="b">
        <f>IF(OR(E225&gt;1.5,E225&lt;0.5),TRUE,FALSE)</f>
        <v>0</v>
      </c>
      <c r="H225" s="1" t="b">
        <f>IF(AND(E225&lt;1.5,E225&gt;0.5),TRUE,FALSE)</f>
        <v>1</v>
      </c>
      <c r="I225" t="s">
        <v>449</v>
      </c>
      <c r="J225" t="s">
        <v>683</v>
      </c>
      <c r="K225" t="s">
        <v>459</v>
      </c>
      <c r="L225" s="1"/>
      <c r="M225" s="1"/>
    </row>
    <row r="226" spans="1:13" x14ac:dyDescent="0.2">
      <c r="A226" s="1" t="s">
        <v>228</v>
      </c>
      <c r="B226" s="1">
        <v>0.50980000000000003</v>
      </c>
      <c r="C226" s="1">
        <v>1.52E-2</v>
      </c>
      <c r="D226" s="1">
        <v>0.47499999999999998</v>
      </c>
      <c r="E226" s="1">
        <f>C226/D226</f>
        <v>3.2000000000000001E-2</v>
      </c>
      <c r="F226" s="1" t="str">
        <f>IF(B226&lt;0.7,"True","False")</f>
        <v>True</v>
      </c>
      <c r="G226" s="1" t="b">
        <f>IF(OR(E226&gt;1.5,E226&lt;0.5),TRUE,FALSE)</f>
        <v>1</v>
      </c>
      <c r="H226" s="1" t="b">
        <f>IF(AND(E226&lt;1.5,E226&gt;0.5),TRUE,FALSE)</f>
        <v>0</v>
      </c>
      <c r="I226" t="s">
        <v>450</v>
      </c>
      <c r="J226" t="s">
        <v>684</v>
      </c>
      <c r="K226" t="s">
        <v>468</v>
      </c>
      <c r="L226" s="1"/>
      <c r="M226" s="1"/>
    </row>
    <row r="227" spans="1:13" x14ac:dyDescent="0.2">
      <c r="A227" s="1" t="s">
        <v>229</v>
      </c>
      <c r="B227" s="1">
        <v>0.99470000000000003</v>
      </c>
      <c r="C227" s="1">
        <v>8.9999999999999998E-4</v>
      </c>
      <c r="D227" s="1">
        <v>4.4000000000000003E-3</v>
      </c>
      <c r="E227" s="1">
        <f>C227/D227</f>
        <v>0.20454545454545453</v>
      </c>
      <c r="F227" s="1" t="str">
        <f>IF(B227&lt;0.7,"True","False")</f>
        <v>False</v>
      </c>
      <c r="G227" s="1" t="b">
        <f>IF(OR(E227&gt;1.5,E227&lt;0.5),TRUE,FALSE)</f>
        <v>1</v>
      </c>
      <c r="H227" s="1" t="b">
        <f>IF(AND(E227&lt;1.5,E227&gt;0.5),TRUE,FALSE)</f>
        <v>0</v>
      </c>
      <c r="I227" t="s">
        <v>450</v>
      </c>
      <c r="J227" t="s">
        <v>685</v>
      </c>
      <c r="K227" t="s">
        <v>468</v>
      </c>
      <c r="L227" s="1"/>
      <c r="M227" s="1"/>
    </row>
    <row r="228" spans="1:13" x14ac:dyDescent="0.2">
      <c r="A228" s="1" t="s">
        <v>230</v>
      </c>
      <c r="B228" s="1">
        <v>0.68579999999999997</v>
      </c>
      <c r="C228" s="1">
        <v>4.5999999999999999E-3</v>
      </c>
      <c r="D228" s="1">
        <v>0.30959999999999999</v>
      </c>
      <c r="E228" s="1">
        <f>C228/D228</f>
        <v>1.4857881136950905E-2</v>
      </c>
      <c r="F228" s="1" t="str">
        <f>IF(B228&lt;0.7,"True","False")</f>
        <v>True</v>
      </c>
      <c r="G228" s="1" t="b">
        <f>IF(OR(E228&gt;1.5,E228&lt;0.5),TRUE,FALSE)</f>
        <v>1</v>
      </c>
      <c r="H228" s="1" t="b">
        <f>IF(AND(E228&lt;1.5,E228&gt;0.5),TRUE,FALSE)</f>
        <v>0</v>
      </c>
      <c r="I228" t="s">
        <v>450</v>
      </c>
      <c r="J228" t="s">
        <v>686</v>
      </c>
      <c r="K228" t="s">
        <v>468</v>
      </c>
      <c r="L228" s="1"/>
      <c r="M228" s="1"/>
    </row>
    <row r="229" spans="1:13" x14ac:dyDescent="0.2">
      <c r="A229" s="1" t="s">
        <v>231</v>
      </c>
      <c r="B229" s="1">
        <v>0.90439999999999998</v>
      </c>
      <c r="C229" s="1">
        <v>2.2000000000000001E-3</v>
      </c>
      <c r="D229" s="1">
        <v>9.3399999999999997E-2</v>
      </c>
      <c r="E229" s="1">
        <f>C229/D229</f>
        <v>2.3554603854389723E-2</v>
      </c>
      <c r="F229" s="1" t="str">
        <f>IF(B229&lt;0.7,"True","False")</f>
        <v>False</v>
      </c>
      <c r="G229" s="1" t="b">
        <f>IF(OR(E229&gt;1.5,E229&lt;0.5),TRUE,FALSE)</f>
        <v>1</v>
      </c>
      <c r="H229" s="1" t="b">
        <f>IF(AND(E229&lt;1.5,E229&gt;0.5),TRUE,FALSE)</f>
        <v>0</v>
      </c>
      <c r="I229" t="s">
        <v>450</v>
      </c>
      <c r="J229" t="s">
        <v>687</v>
      </c>
      <c r="K229" t="s">
        <v>468</v>
      </c>
      <c r="L229" s="1"/>
      <c r="M229" s="1"/>
    </row>
    <row r="230" spans="1:13" x14ac:dyDescent="0.2">
      <c r="A230" s="1" t="s">
        <v>232</v>
      </c>
      <c r="B230" s="1">
        <v>0.98960000000000004</v>
      </c>
      <c r="C230" s="1">
        <v>1.5E-3</v>
      </c>
      <c r="D230" s="1">
        <v>8.8999999999999999E-3</v>
      </c>
      <c r="E230" s="1">
        <f>C230/D230</f>
        <v>0.16853932584269662</v>
      </c>
      <c r="F230" s="1" t="str">
        <f>IF(B230&lt;0.7,"True","False")</f>
        <v>False</v>
      </c>
      <c r="G230" s="1" t="b">
        <f>IF(OR(E230&gt;1.5,E230&lt;0.5),TRUE,FALSE)</f>
        <v>1</v>
      </c>
      <c r="H230" s="1" t="b">
        <f>IF(AND(E230&lt;1.5,E230&gt;0.5),TRUE,FALSE)</f>
        <v>0</v>
      </c>
      <c r="I230" t="s">
        <v>450</v>
      </c>
      <c r="J230" t="s">
        <v>688</v>
      </c>
      <c r="K230" t="s">
        <v>468</v>
      </c>
      <c r="L230" s="1"/>
      <c r="M230" s="1"/>
    </row>
    <row r="231" spans="1:13" x14ac:dyDescent="0.2">
      <c r="A231" s="1" t="s">
        <v>233</v>
      </c>
      <c r="B231" s="1">
        <v>0.996</v>
      </c>
      <c r="C231" s="1">
        <v>5.0000000000000001E-4</v>
      </c>
      <c r="D231" s="1">
        <v>3.5000000000000001E-3</v>
      </c>
      <c r="E231" s="1">
        <f>C231/D231</f>
        <v>0.14285714285714285</v>
      </c>
      <c r="F231" s="1" t="str">
        <f>IF(B231&lt;0.7,"True","False")</f>
        <v>False</v>
      </c>
      <c r="G231" s="1" t="b">
        <f>IF(OR(E231&gt;1.5,E231&lt;0.5),TRUE,FALSE)</f>
        <v>1</v>
      </c>
      <c r="H231" s="1" t="b">
        <f>IF(AND(E231&lt;1.5,E231&gt;0.5),TRUE,FALSE)</f>
        <v>0</v>
      </c>
      <c r="I231" t="s">
        <v>450</v>
      </c>
      <c r="J231" t="s">
        <v>689</v>
      </c>
      <c r="K231" t="s">
        <v>468</v>
      </c>
      <c r="L231" s="1"/>
      <c r="M231" s="1"/>
    </row>
    <row r="232" spans="1:13" x14ac:dyDescent="0.2">
      <c r="A232" s="1" t="s">
        <v>234</v>
      </c>
      <c r="B232" s="1">
        <v>0.50060000000000004</v>
      </c>
      <c r="C232" s="1">
        <v>1.2699999999999999E-2</v>
      </c>
      <c r="D232" s="1">
        <v>0.48670000000000002</v>
      </c>
      <c r="E232" s="1">
        <f>C232/D232</f>
        <v>2.6094103143620297E-2</v>
      </c>
      <c r="F232" s="1" t="str">
        <f>IF(B232&lt;0.7,"True","False")</f>
        <v>True</v>
      </c>
      <c r="G232" s="1" t="b">
        <f>IF(OR(E232&gt;1.5,E232&lt;0.5),TRUE,FALSE)</f>
        <v>1</v>
      </c>
      <c r="H232" s="1" t="b">
        <f>IF(AND(E232&lt;1.5,E232&gt;0.5),TRUE,FALSE)</f>
        <v>0</v>
      </c>
      <c r="I232" t="s">
        <v>450</v>
      </c>
      <c r="J232" t="s">
        <v>690</v>
      </c>
      <c r="K232" t="s">
        <v>468</v>
      </c>
      <c r="L232" s="1"/>
      <c r="M232" s="1"/>
    </row>
    <row r="233" spans="1:13" x14ac:dyDescent="0.2">
      <c r="A233" s="1" t="s">
        <v>235</v>
      </c>
      <c r="B233" s="1">
        <v>0.99639999999999995</v>
      </c>
      <c r="C233" s="1">
        <v>5.9999999999999995E-4</v>
      </c>
      <c r="D233" s="1">
        <v>3.0000000000000001E-3</v>
      </c>
      <c r="E233" s="1">
        <f>C233/D233</f>
        <v>0.19999999999999998</v>
      </c>
      <c r="F233" s="1" t="str">
        <f>IF(B233&lt;0.7,"True","False")</f>
        <v>False</v>
      </c>
      <c r="G233" s="1" t="b">
        <f>IF(OR(E233&gt;1.5,E233&lt;0.5),TRUE,FALSE)</f>
        <v>1</v>
      </c>
      <c r="H233" s="1" t="b">
        <f>IF(AND(E233&lt;1.5,E233&gt;0.5),TRUE,FALSE)</f>
        <v>0</v>
      </c>
      <c r="I233" t="s">
        <v>450</v>
      </c>
      <c r="J233" t="s">
        <v>691</v>
      </c>
      <c r="K233" t="s">
        <v>468</v>
      </c>
      <c r="L233" s="1"/>
      <c r="M233" s="1"/>
    </row>
    <row r="234" spans="1:13" x14ac:dyDescent="0.2">
      <c r="A234" s="1" t="s">
        <v>236</v>
      </c>
      <c r="B234" s="1">
        <v>0.62129999999999996</v>
      </c>
      <c r="C234" s="1">
        <v>0.19089999999999999</v>
      </c>
      <c r="D234" s="1">
        <v>0.18779999999999999</v>
      </c>
      <c r="E234" s="1">
        <f>C234/D234</f>
        <v>1.016506922257721</v>
      </c>
      <c r="F234" s="1" t="str">
        <f>IF(B234&lt;0.7,"True","False")</f>
        <v>True</v>
      </c>
      <c r="G234" s="1" t="b">
        <f>IF(OR(E234&gt;1.5,E234&lt;0.5),TRUE,FALSE)</f>
        <v>0</v>
      </c>
      <c r="H234" s="1" t="b">
        <f>IF(AND(E234&lt;1.5,E234&gt;0.5),TRUE,FALSE)</f>
        <v>1</v>
      </c>
      <c r="I234" t="s">
        <v>449</v>
      </c>
      <c r="J234" t="s">
        <v>692</v>
      </c>
      <c r="K234" t="s">
        <v>459</v>
      </c>
      <c r="L234" s="1"/>
      <c r="M234" s="1"/>
    </row>
    <row r="235" spans="1:13" x14ac:dyDescent="0.2">
      <c r="A235" s="1" t="s">
        <v>237</v>
      </c>
      <c r="B235" s="1">
        <v>0.99609999999999999</v>
      </c>
      <c r="C235" s="1">
        <v>2E-3</v>
      </c>
      <c r="D235" s="1">
        <v>1.9E-3</v>
      </c>
      <c r="E235" s="1">
        <f>C235/D235</f>
        <v>1.0526315789473684</v>
      </c>
      <c r="F235" s="1" t="str">
        <f>IF(B235&lt;0.7,"True","False")</f>
        <v>False</v>
      </c>
      <c r="G235" s="1" t="b">
        <f>IF(OR(E235&gt;1.5,E235&lt;0.5),TRUE,FALSE)</f>
        <v>0</v>
      </c>
      <c r="H235" s="1" t="b">
        <f>IF(AND(E235&lt;1.5,E235&gt;0.5),TRUE,FALSE)</f>
        <v>1</v>
      </c>
      <c r="I235" t="s">
        <v>449</v>
      </c>
      <c r="J235" t="s">
        <v>693</v>
      </c>
      <c r="K235" t="s">
        <v>459</v>
      </c>
      <c r="L235" s="1"/>
      <c r="M235" s="1"/>
    </row>
    <row r="236" spans="1:13" x14ac:dyDescent="0.2">
      <c r="A236" s="1" t="s">
        <v>238</v>
      </c>
      <c r="B236" s="1">
        <v>0.99619999999999997</v>
      </c>
      <c r="C236" s="1">
        <v>4.0000000000000002E-4</v>
      </c>
      <c r="D236" s="1">
        <v>3.3999999999999998E-3</v>
      </c>
      <c r="E236" s="1">
        <f>C236/D236</f>
        <v>0.11764705882352942</v>
      </c>
      <c r="F236" s="1" t="str">
        <f>IF(B236&lt;0.7,"True","False")</f>
        <v>False</v>
      </c>
      <c r="G236" s="1" t="b">
        <f>IF(OR(E236&gt;1.5,E236&lt;0.5),TRUE,FALSE)</f>
        <v>1</v>
      </c>
      <c r="H236" s="1" t="b">
        <f>IF(AND(E236&lt;1.5,E236&gt;0.5),TRUE,FALSE)</f>
        <v>0</v>
      </c>
      <c r="I236" t="s">
        <v>450</v>
      </c>
      <c r="J236" t="s">
        <v>694</v>
      </c>
      <c r="K236" t="s">
        <v>468</v>
      </c>
      <c r="L236" s="1"/>
      <c r="M236" s="1"/>
    </row>
    <row r="237" spans="1:13" x14ac:dyDescent="0.2">
      <c r="A237" s="1" t="s">
        <v>239</v>
      </c>
      <c r="B237" s="1">
        <v>0.98839999999999995</v>
      </c>
      <c r="C237" s="1">
        <v>1.4E-3</v>
      </c>
      <c r="D237" s="1">
        <v>1.0200000000000001E-2</v>
      </c>
      <c r="E237" s="1">
        <f>C237/D237</f>
        <v>0.1372549019607843</v>
      </c>
      <c r="F237" s="1" t="str">
        <f>IF(B237&lt;0.7,"True","False")</f>
        <v>False</v>
      </c>
      <c r="G237" s="1" t="b">
        <f>IF(OR(E237&gt;1.5,E237&lt;0.5),TRUE,FALSE)</f>
        <v>1</v>
      </c>
      <c r="H237" s="1" t="b">
        <f>IF(AND(E237&lt;1.5,E237&gt;0.5),TRUE,FALSE)</f>
        <v>0</v>
      </c>
      <c r="I237" t="s">
        <v>450</v>
      </c>
      <c r="J237" t="s">
        <v>695</v>
      </c>
      <c r="K237" t="s">
        <v>468</v>
      </c>
      <c r="L237" s="1"/>
      <c r="M237" s="1"/>
    </row>
    <row r="238" spans="1:13" x14ac:dyDescent="0.2">
      <c r="A238" s="1" t="s">
        <v>240</v>
      </c>
      <c r="B238" s="1">
        <v>0.98570000000000002</v>
      </c>
      <c r="C238" s="1">
        <v>3.0000000000000001E-3</v>
      </c>
      <c r="D238" s="1">
        <v>1.1299999999999999E-2</v>
      </c>
      <c r="E238" s="1">
        <f>C238/D238</f>
        <v>0.26548672566371684</v>
      </c>
      <c r="F238" s="1" t="str">
        <f>IF(B238&lt;0.7,"True","False")</f>
        <v>False</v>
      </c>
      <c r="G238" s="1" t="b">
        <f>IF(OR(E238&gt;1.5,E238&lt;0.5),TRUE,FALSE)</f>
        <v>1</v>
      </c>
      <c r="H238" s="1" t="b">
        <f>IF(AND(E238&lt;1.5,E238&gt;0.5),TRUE,FALSE)</f>
        <v>0</v>
      </c>
      <c r="I238" t="s">
        <v>450</v>
      </c>
      <c r="J238" t="s">
        <v>696</v>
      </c>
      <c r="K238" t="s">
        <v>468</v>
      </c>
      <c r="L238" s="1"/>
      <c r="M238" s="1"/>
    </row>
    <row r="239" spans="1:13" x14ac:dyDescent="0.2">
      <c r="A239" s="1" t="s">
        <v>241</v>
      </c>
      <c r="B239" s="1">
        <v>0.79549999999999998</v>
      </c>
      <c r="C239" s="1">
        <v>5.5999999999999999E-3</v>
      </c>
      <c r="D239" s="1">
        <v>0.19889999999999999</v>
      </c>
      <c r="E239" s="1">
        <f>C239/D239</f>
        <v>2.815485168426345E-2</v>
      </c>
      <c r="F239" s="1" t="str">
        <f>IF(B239&lt;0.7,"True","False")</f>
        <v>False</v>
      </c>
      <c r="G239" s="1" t="b">
        <f>IF(OR(E239&gt;1.5,E239&lt;0.5),TRUE,FALSE)</f>
        <v>1</v>
      </c>
      <c r="H239" s="1" t="b">
        <f>IF(AND(E239&lt;1.5,E239&gt;0.5),TRUE,FALSE)</f>
        <v>0</v>
      </c>
      <c r="I239" t="s">
        <v>450</v>
      </c>
      <c r="J239" t="s">
        <v>697</v>
      </c>
      <c r="K239" t="s">
        <v>468</v>
      </c>
      <c r="L239" s="1"/>
      <c r="M239" s="1"/>
    </row>
    <row r="240" spans="1:13" x14ac:dyDescent="0.2">
      <c r="A240" s="1" t="s">
        <v>242</v>
      </c>
      <c r="B240" s="1">
        <v>0.81120000000000003</v>
      </c>
      <c r="C240" s="1">
        <v>5.7999999999999996E-3</v>
      </c>
      <c r="D240" s="1">
        <v>0.183</v>
      </c>
      <c r="E240" s="1">
        <f>C240/D240</f>
        <v>3.169398907103825E-2</v>
      </c>
      <c r="F240" s="1" t="str">
        <f>IF(B240&lt;0.7,"True","False")</f>
        <v>False</v>
      </c>
      <c r="G240" s="1" t="b">
        <f>IF(OR(E240&gt;1.5,E240&lt;0.5),TRUE,FALSE)</f>
        <v>1</v>
      </c>
      <c r="H240" s="1" t="b">
        <f>IF(AND(E240&lt;1.5,E240&gt;0.5),TRUE,FALSE)</f>
        <v>0</v>
      </c>
      <c r="I240" t="s">
        <v>450</v>
      </c>
      <c r="J240" t="s">
        <v>698</v>
      </c>
      <c r="K240" t="s">
        <v>468</v>
      </c>
      <c r="L240" s="1"/>
      <c r="M240" s="1"/>
    </row>
    <row r="241" spans="1:13" x14ac:dyDescent="0.2">
      <c r="A241" s="1" t="s">
        <v>243</v>
      </c>
      <c r="B241" s="1">
        <v>0.99409999999999998</v>
      </c>
      <c r="C241" s="1">
        <v>1.8E-3</v>
      </c>
      <c r="D241" s="1">
        <v>4.1000000000000003E-3</v>
      </c>
      <c r="E241" s="1">
        <f>C241/D241</f>
        <v>0.43902439024390238</v>
      </c>
      <c r="F241" s="1" t="str">
        <f>IF(B241&lt;0.7,"True","False")</f>
        <v>False</v>
      </c>
      <c r="G241" s="1" t="b">
        <f>IF(OR(E241&gt;1.5,E241&lt;0.5),TRUE,FALSE)</f>
        <v>1</v>
      </c>
      <c r="H241" s="1" t="b">
        <f>IF(AND(E241&lt;1.5,E241&gt;0.5),TRUE,FALSE)</f>
        <v>0</v>
      </c>
      <c r="I241" t="s">
        <v>450</v>
      </c>
      <c r="J241" t="s">
        <v>699</v>
      </c>
      <c r="K241" t="s">
        <v>468</v>
      </c>
      <c r="L241" s="1"/>
      <c r="M241" s="1"/>
    </row>
    <row r="242" spans="1:13" x14ac:dyDescent="0.2">
      <c r="A242" s="1" t="s">
        <v>244</v>
      </c>
      <c r="B242" s="1">
        <v>0.98950000000000005</v>
      </c>
      <c r="C242" s="1">
        <v>1.6999999999999999E-3</v>
      </c>
      <c r="D242" s="1">
        <v>8.8000000000000005E-3</v>
      </c>
      <c r="E242" s="1">
        <f>C242/D242</f>
        <v>0.19318181818181815</v>
      </c>
      <c r="F242" s="1" t="str">
        <f>IF(B242&lt;0.7,"True","False")</f>
        <v>False</v>
      </c>
      <c r="G242" s="1" t="b">
        <f>IF(OR(E242&gt;1.5,E242&lt;0.5),TRUE,FALSE)</f>
        <v>1</v>
      </c>
      <c r="H242" s="1" t="b">
        <f>IF(AND(E242&lt;1.5,E242&gt;0.5),TRUE,FALSE)</f>
        <v>0</v>
      </c>
      <c r="I242" t="s">
        <v>450</v>
      </c>
      <c r="J242" t="s">
        <v>700</v>
      </c>
      <c r="K242" t="s">
        <v>468</v>
      </c>
      <c r="L242" s="1"/>
      <c r="M242" s="1"/>
    </row>
    <row r="243" spans="1:13" x14ac:dyDescent="0.2">
      <c r="A243" s="1" t="s">
        <v>245</v>
      </c>
      <c r="B243" s="1">
        <v>0.99299999999999999</v>
      </c>
      <c r="C243" s="1">
        <v>8.9999999999999998E-4</v>
      </c>
      <c r="D243" s="1">
        <v>6.1000000000000004E-3</v>
      </c>
      <c r="E243" s="1">
        <f>C243/D243</f>
        <v>0.14754098360655737</v>
      </c>
      <c r="F243" s="1" t="str">
        <f>IF(B243&lt;0.7,"True","False")</f>
        <v>False</v>
      </c>
      <c r="G243" s="1" t="b">
        <f>IF(OR(E243&gt;1.5,E243&lt;0.5),TRUE,FALSE)</f>
        <v>1</v>
      </c>
      <c r="H243" s="1" t="b">
        <f>IF(AND(E243&lt;1.5,E243&gt;0.5),TRUE,FALSE)</f>
        <v>0</v>
      </c>
      <c r="I243" t="s">
        <v>450</v>
      </c>
      <c r="J243" t="s">
        <v>701</v>
      </c>
      <c r="K243" t="s">
        <v>468</v>
      </c>
      <c r="L243" s="1"/>
      <c r="M243" s="1"/>
    </row>
    <row r="244" spans="1:13" x14ac:dyDescent="0.2">
      <c r="A244" s="1" t="s">
        <v>246</v>
      </c>
      <c r="B244" s="1">
        <v>0.99729999999999996</v>
      </c>
      <c r="C244" s="1">
        <v>5.0000000000000001E-4</v>
      </c>
      <c r="D244" s="1">
        <v>2.2000000000000001E-3</v>
      </c>
      <c r="E244" s="1">
        <f>C244/D244</f>
        <v>0.22727272727272727</v>
      </c>
      <c r="F244" s="1" t="str">
        <f>IF(B244&lt;0.7,"True","False")</f>
        <v>False</v>
      </c>
      <c r="G244" s="1" t="b">
        <f>IF(OR(E244&gt;1.5,E244&lt;0.5),TRUE,FALSE)</f>
        <v>1</v>
      </c>
      <c r="H244" s="1" t="b">
        <f>IF(AND(E244&lt;1.5,E244&gt;0.5),TRUE,FALSE)</f>
        <v>0</v>
      </c>
      <c r="I244" t="s">
        <v>450</v>
      </c>
      <c r="J244" t="s">
        <v>702</v>
      </c>
      <c r="K244" t="s">
        <v>468</v>
      </c>
      <c r="L244" s="1"/>
      <c r="M244" s="1"/>
    </row>
    <row r="245" spans="1:13" x14ac:dyDescent="0.2">
      <c r="A245" s="1" t="s">
        <v>247</v>
      </c>
      <c r="B245" s="1">
        <v>0.98280000000000001</v>
      </c>
      <c r="C245" s="1">
        <v>2.8E-3</v>
      </c>
      <c r="D245" s="1">
        <v>1.44E-2</v>
      </c>
      <c r="E245" s="1">
        <f>C245/D245</f>
        <v>0.19444444444444445</v>
      </c>
      <c r="F245" s="1" t="str">
        <f>IF(B245&lt;0.7,"True","False")</f>
        <v>False</v>
      </c>
      <c r="G245" s="1" t="b">
        <f>IF(OR(E245&gt;1.5,E245&lt;0.5),TRUE,FALSE)</f>
        <v>1</v>
      </c>
      <c r="H245" s="1" t="b">
        <f>IF(AND(E245&lt;1.5,E245&gt;0.5),TRUE,FALSE)</f>
        <v>0</v>
      </c>
      <c r="I245" t="s">
        <v>450</v>
      </c>
      <c r="J245" t="s">
        <v>703</v>
      </c>
      <c r="K245" t="s">
        <v>468</v>
      </c>
      <c r="L245" s="1"/>
      <c r="M245" s="1"/>
    </row>
    <row r="246" spans="1:13" x14ac:dyDescent="0.2">
      <c r="A246" s="1" t="s">
        <v>248</v>
      </c>
      <c r="B246" s="1">
        <v>0.68110000000000004</v>
      </c>
      <c r="C246" s="1">
        <v>3.5000000000000001E-3</v>
      </c>
      <c r="D246" s="1">
        <v>0.31540000000000001</v>
      </c>
      <c r="E246" s="1">
        <f>C246/D246</f>
        <v>1.1097019657577679E-2</v>
      </c>
      <c r="F246" s="1" t="str">
        <f>IF(B246&lt;0.7,"True","False")</f>
        <v>True</v>
      </c>
      <c r="G246" s="1" t="b">
        <f>IF(OR(E246&gt;1.5,E246&lt;0.5),TRUE,FALSE)</f>
        <v>1</v>
      </c>
      <c r="H246" s="1" t="b">
        <f>IF(AND(E246&lt;1.5,E246&gt;0.5),TRUE,FALSE)</f>
        <v>0</v>
      </c>
      <c r="I246" t="s">
        <v>450</v>
      </c>
      <c r="J246" t="s">
        <v>704</v>
      </c>
      <c r="K246" t="s">
        <v>468</v>
      </c>
      <c r="L246" s="1"/>
      <c r="M246" s="1"/>
    </row>
    <row r="247" spans="1:13" x14ac:dyDescent="0.2">
      <c r="A247" s="1" t="s">
        <v>249</v>
      </c>
      <c r="B247" s="1">
        <v>0.76739999999999997</v>
      </c>
      <c r="C247" s="1">
        <v>3.3E-3</v>
      </c>
      <c r="D247" s="1">
        <v>0.2293</v>
      </c>
      <c r="E247" s="1">
        <f>C247/D247</f>
        <v>1.4391626689925861E-2</v>
      </c>
      <c r="F247" s="1" t="str">
        <f>IF(B247&lt;0.7,"True","False")</f>
        <v>False</v>
      </c>
      <c r="G247" s="1" t="b">
        <f>IF(OR(E247&gt;1.5,E247&lt;0.5),TRUE,FALSE)</f>
        <v>1</v>
      </c>
      <c r="H247" s="1" t="b">
        <f>IF(AND(E247&lt;1.5,E247&gt;0.5),TRUE,FALSE)</f>
        <v>0</v>
      </c>
      <c r="I247" t="s">
        <v>450</v>
      </c>
      <c r="J247" t="s">
        <v>705</v>
      </c>
      <c r="K247" t="s">
        <v>468</v>
      </c>
      <c r="L247" s="1"/>
      <c r="M247" s="1"/>
    </row>
    <row r="248" spans="1:13" x14ac:dyDescent="0.2">
      <c r="A248" s="1" t="s">
        <v>250</v>
      </c>
      <c r="B248" s="1">
        <v>0.41270000000000001</v>
      </c>
      <c r="C248" s="1">
        <v>0.29480000000000001</v>
      </c>
      <c r="D248" s="1">
        <v>0.29249999999999998</v>
      </c>
      <c r="E248" s="1">
        <f>C248/D248</f>
        <v>1.0078632478632479</v>
      </c>
      <c r="F248" s="1" t="str">
        <f>IF(B248&lt;0.7,"True","False")</f>
        <v>True</v>
      </c>
      <c r="G248" s="1" t="b">
        <f>IF(OR(E248&gt;1.5,E248&lt;0.5),TRUE,FALSE)</f>
        <v>0</v>
      </c>
      <c r="H248" s="1" t="b">
        <f>IF(AND(E248&lt;1.5,E248&gt;0.5),TRUE,FALSE)</f>
        <v>1</v>
      </c>
      <c r="I248" t="s">
        <v>449</v>
      </c>
      <c r="J248" t="s">
        <v>706</v>
      </c>
      <c r="K248" t="s">
        <v>459</v>
      </c>
      <c r="L248" s="1"/>
      <c r="M248" s="1"/>
    </row>
    <row r="249" spans="1:13" x14ac:dyDescent="0.2">
      <c r="A249" s="1" t="s">
        <v>251</v>
      </c>
      <c r="B249" s="1">
        <v>0.37819999999999998</v>
      </c>
      <c r="C249" s="1">
        <v>0.31269999999999998</v>
      </c>
      <c r="D249" s="1">
        <v>0.30909999999999999</v>
      </c>
      <c r="E249" s="1">
        <f>C249/D249</f>
        <v>1.0116467162730507</v>
      </c>
      <c r="F249" s="1" t="str">
        <f>IF(B249&lt;0.7,"True","False")</f>
        <v>True</v>
      </c>
      <c r="G249" s="1" t="b">
        <f>IF(OR(E249&gt;1.5,E249&lt;0.5),TRUE,FALSE)</f>
        <v>0</v>
      </c>
      <c r="H249" s="1" t="b">
        <f>IF(AND(E249&lt;1.5,E249&gt;0.5),TRUE,FALSE)</f>
        <v>1</v>
      </c>
      <c r="I249" t="s">
        <v>449</v>
      </c>
      <c r="J249" t="s">
        <v>707</v>
      </c>
      <c r="K249" t="s">
        <v>459</v>
      </c>
      <c r="L249" s="1"/>
      <c r="M249" s="1"/>
    </row>
    <row r="250" spans="1:13" x14ac:dyDescent="0.2">
      <c r="A250" s="1" t="s">
        <v>252</v>
      </c>
      <c r="B250" s="1">
        <v>0.99199999999999999</v>
      </c>
      <c r="C250" s="1">
        <v>4.0000000000000002E-4</v>
      </c>
      <c r="D250" s="1">
        <v>7.6E-3</v>
      </c>
      <c r="E250" s="1">
        <f>C250/D250</f>
        <v>5.2631578947368425E-2</v>
      </c>
      <c r="F250" s="1" t="str">
        <f>IF(B250&lt;0.7,"True","False")</f>
        <v>False</v>
      </c>
      <c r="G250" s="1" t="b">
        <f>IF(OR(E250&gt;1.5,E250&lt;0.5),TRUE,FALSE)</f>
        <v>1</v>
      </c>
      <c r="H250" s="1" t="b">
        <f>IF(AND(E250&lt;1.5,E250&gt;0.5),TRUE,FALSE)</f>
        <v>0</v>
      </c>
      <c r="I250" t="s">
        <v>450</v>
      </c>
      <c r="J250" t="s">
        <v>708</v>
      </c>
      <c r="K250" t="s">
        <v>468</v>
      </c>
      <c r="L250" s="1"/>
      <c r="M250" s="1"/>
    </row>
    <row r="251" spans="1:13" x14ac:dyDescent="0.2">
      <c r="A251" s="1" t="s">
        <v>253</v>
      </c>
      <c r="B251" s="1">
        <v>0.6532</v>
      </c>
      <c r="C251" s="1">
        <v>9.5999999999999992E-3</v>
      </c>
      <c r="D251" s="1">
        <v>0.3372</v>
      </c>
      <c r="E251" s="1">
        <f>C251/D251</f>
        <v>2.8469750889679714E-2</v>
      </c>
      <c r="F251" s="1" t="str">
        <f>IF(B251&lt;0.7,"True","False")</f>
        <v>True</v>
      </c>
      <c r="G251" s="1" t="b">
        <f>IF(OR(E251&gt;1.5,E251&lt;0.5),TRUE,FALSE)</f>
        <v>1</v>
      </c>
      <c r="H251" s="1" t="b">
        <f>IF(AND(E251&lt;1.5,E251&gt;0.5),TRUE,FALSE)</f>
        <v>0</v>
      </c>
      <c r="I251" t="s">
        <v>450</v>
      </c>
      <c r="J251" t="s">
        <v>709</v>
      </c>
      <c r="K251" t="s">
        <v>468</v>
      </c>
      <c r="L251" s="1"/>
      <c r="M251" s="1"/>
    </row>
    <row r="252" spans="1:13" x14ac:dyDescent="0.2">
      <c r="A252" s="1" t="s">
        <v>254</v>
      </c>
      <c r="B252" s="1">
        <v>0.26529999999999998</v>
      </c>
      <c r="C252" s="1">
        <v>1.12E-2</v>
      </c>
      <c r="D252" s="1">
        <v>0.72350000000000003</v>
      </c>
      <c r="E252" s="1">
        <f>C252/D252</f>
        <v>1.548030407740152E-2</v>
      </c>
      <c r="F252" s="1" t="str">
        <f>IF(B252&lt;0.7,"True","False")</f>
        <v>True</v>
      </c>
      <c r="G252" s="1" t="b">
        <f>IF(OR(E252&gt;1.5,E252&lt;0.5),TRUE,FALSE)</f>
        <v>1</v>
      </c>
      <c r="H252" s="1" t="b">
        <f>IF(AND(E252&lt;1.5,E252&gt;0.5),TRUE,FALSE)</f>
        <v>0</v>
      </c>
      <c r="I252" t="s">
        <v>450</v>
      </c>
      <c r="J252" t="s">
        <v>710</v>
      </c>
      <c r="K252" t="s">
        <v>468</v>
      </c>
      <c r="L252" s="1"/>
      <c r="M252" s="1"/>
    </row>
    <row r="253" spans="1:13" x14ac:dyDescent="0.2">
      <c r="A253" s="1" t="s">
        <v>255</v>
      </c>
      <c r="B253" s="1">
        <v>0.72670000000000001</v>
      </c>
      <c r="C253" s="1">
        <v>4.7999999999999996E-3</v>
      </c>
      <c r="D253" s="1">
        <v>0.26860000000000001</v>
      </c>
      <c r="E253" s="1">
        <f>C253/D253</f>
        <v>1.7870439314966492E-2</v>
      </c>
      <c r="F253" s="1" t="str">
        <f>IF(B253&lt;0.7,"True","False")</f>
        <v>False</v>
      </c>
      <c r="G253" s="1" t="b">
        <f>IF(OR(E253&gt;1.5,E253&lt;0.5),TRUE,FALSE)</f>
        <v>1</v>
      </c>
      <c r="H253" s="1" t="b">
        <f>IF(AND(E253&lt;1.5,E253&gt;0.5),TRUE,FALSE)</f>
        <v>0</v>
      </c>
      <c r="I253" t="s">
        <v>450</v>
      </c>
      <c r="J253" t="s">
        <v>711</v>
      </c>
      <c r="K253" t="s">
        <v>468</v>
      </c>
      <c r="L253" s="1"/>
      <c r="M253" s="1"/>
    </row>
    <row r="254" spans="1:13" x14ac:dyDescent="0.2">
      <c r="A254" s="1" t="s">
        <v>256</v>
      </c>
      <c r="B254" s="1">
        <v>0.40570000000000001</v>
      </c>
      <c r="C254" s="1">
        <v>1.6E-2</v>
      </c>
      <c r="D254" s="1">
        <v>0.57830000000000004</v>
      </c>
      <c r="E254" s="1">
        <f>C254/D254</f>
        <v>2.7667300708974579E-2</v>
      </c>
      <c r="F254" s="1" t="str">
        <f>IF(B254&lt;0.7,"True","False")</f>
        <v>True</v>
      </c>
      <c r="G254" s="1" t="b">
        <f>IF(OR(E254&gt;1.5,E254&lt;0.5),TRUE,FALSE)</f>
        <v>1</v>
      </c>
      <c r="H254" s="1" t="b">
        <f>IF(AND(E254&lt;1.5,E254&gt;0.5),TRUE,FALSE)</f>
        <v>0</v>
      </c>
      <c r="I254" t="s">
        <v>450</v>
      </c>
      <c r="J254" t="s">
        <v>712</v>
      </c>
      <c r="K254" t="s">
        <v>468</v>
      </c>
      <c r="L254" s="1"/>
      <c r="M254" s="1"/>
    </row>
    <row r="255" spans="1:13" x14ac:dyDescent="0.2">
      <c r="A255" s="1" t="s">
        <v>257</v>
      </c>
      <c r="B255" s="1">
        <v>0.92900000000000005</v>
      </c>
      <c r="C255" s="1">
        <v>2.8999999999999998E-3</v>
      </c>
      <c r="D255" s="1">
        <v>6.8099999999999994E-2</v>
      </c>
      <c r="E255" s="1">
        <f>C255/D255</f>
        <v>4.2584434654919234E-2</v>
      </c>
      <c r="F255" s="1" t="str">
        <f>IF(B255&lt;0.7,"True","False")</f>
        <v>False</v>
      </c>
      <c r="G255" s="1" t="b">
        <f>IF(OR(E255&gt;1.5,E255&lt;0.5),TRUE,FALSE)</f>
        <v>1</v>
      </c>
      <c r="H255" s="1" t="b">
        <f>IF(AND(E255&lt;1.5,E255&gt;0.5),TRUE,FALSE)</f>
        <v>0</v>
      </c>
      <c r="I255" t="s">
        <v>450</v>
      </c>
      <c r="J255" t="s">
        <v>713</v>
      </c>
      <c r="K255" t="s">
        <v>468</v>
      </c>
      <c r="L255" s="1"/>
      <c r="M255" s="1"/>
    </row>
    <row r="256" spans="1:13" s="3" customFormat="1" x14ac:dyDescent="0.2">
      <c r="A256" s="3" t="s">
        <v>258</v>
      </c>
      <c r="B256" s="3">
        <v>0.995</v>
      </c>
      <c r="C256" s="3">
        <v>4.0000000000000002E-4</v>
      </c>
      <c r="D256" s="3">
        <v>4.4999999999999997E-3</v>
      </c>
      <c r="E256" s="3">
        <f>C256/D256</f>
        <v>8.8888888888888906E-2</v>
      </c>
      <c r="F256" s="3" t="str">
        <f>IF(B256&lt;0.7,"True","False")</f>
        <v>False</v>
      </c>
      <c r="G256" s="3" t="b">
        <f>IF(OR(E256&gt;1.5,E256&lt;0.5),TRUE,FALSE)</f>
        <v>1</v>
      </c>
      <c r="H256" s="3" t="b">
        <f>IF(AND(E256&lt;1.5,E256&gt;0.5),TRUE,FALSE)</f>
        <v>0</v>
      </c>
      <c r="I256" s="3" t="s">
        <v>449</v>
      </c>
      <c r="J256" s="3" t="s">
        <v>714</v>
      </c>
      <c r="K256" s="3" t="s">
        <v>468</v>
      </c>
    </row>
    <row r="257" spans="1:13" s="3" customFormat="1" x14ac:dyDescent="0.2">
      <c r="A257" s="3" t="s">
        <v>259</v>
      </c>
      <c r="B257" s="3">
        <v>0.32119999999999999</v>
      </c>
      <c r="C257" s="3">
        <v>0.34160000000000001</v>
      </c>
      <c r="D257" s="3">
        <v>0.33729999999999999</v>
      </c>
      <c r="E257" s="3">
        <f>C257/D257</f>
        <v>1.0127482952860956</v>
      </c>
      <c r="F257" s="3" t="str">
        <f>IF(B257&lt;0.7,"True","False")</f>
        <v>True</v>
      </c>
      <c r="G257" s="3" t="b">
        <f>IF(OR(E257&gt;1.5,E257&lt;0.5),TRUE,FALSE)</f>
        <v>0</v>
      </c>
      <c r="H257" s="3" t="b">
        <f>IF(AND(E257&lt;1.5,E257&gt;0.5),TRUE,FALSE)</f>
        <v>1</v>
      </c>
      <c r="I257" s="3" t="s">
        <v>450</v>
      </c>
      <c r="J257" s="3" t="s">
        <v>715</v>
      </c>
      <c r="K257" s="3" t="s">
        <v>459</v>
      </c>
    </row>
    <row r="258" spans="1:13" x14ac:dyDescent="0.2">
      <c r="A258" s="1" t="s">
        <v>260</v>
      </c>
      <c r="B258" s="1">
        <v>0.47120000000000001</v>
      </c>
      <c r="C258" s="1">
        <v>0.26319999999999999</v>
      </c>
      <c r="D258" s="1">
        <v>0.2656</v>
      </c>
      <c r="E258" s="1">
        <f>C258/D258</f>
        <v>0.99096385542168675</v>
      </c>
      <c r="F258" s="1" t="str">
        <f>IF(B258&lt;0.7,"True","False")</f>
        <v>True</v>
      </c>
      <c r="G258" s="1" t="b">
        <f>IF(OR(E258&gt;1.5,E258&lt;0.5),TRUE,FALSE)</f>
        <v>0</v>
      </c>
      <c r="H258" s="1" t="b">
        <f>IF(AND(E258&lt;1.5,E258&gt;0.5),TRUE,FALSE)</f>
        <v>1</v>
      </c>
      <c r="I258" t="s">
        <v>449</v>
      </c>
      <c r="J258" t="s">
        <v>716</v>
      </c>
      <c r="K258" t="s">
        <v>459</v>
      </c>
      <c r="L258" s="1"/>
      <c r="M258" s="1"/>
    </row>
    <row r="259" spans="1:13" x14ac:dyDescent="0.2">
      <c r="A259" s="1" t="s">
        <v>261</v>
      </c>
      <c r="B259" s="1">
        <v>0.47610000000000002</v>
      </c>
      <c r="C259" s="1">
        <v>0.26440000000000002</v>
      </c>
      <c r="D259" s="1">
        <v>0.25940000000000002</v>
      </c>
      <c r="E259" s="1">
        <f>C259/D259</f>
        <v>1.0192752505782576</v>
      </c>
      <c r="F259" s="1" t="str">
        <f>IF(B259&lt;0.7,"True","False")</f>
        <v>True</v>
      </c>
      <c r="G259" s="1" t="b">
        <f>IF(OR(E259&gt;1.5,E259&lt;0.5),TRUE,FALSE)</f>
        <v>0</v>
      </c>
      <c r="H259" s="1" t="b">
        <f>IF(AND(E259&lt;1.5,E259&gt;0.5),TRUE,FALSE)</f>
        <v>1</v>
      </c>
      <c r="I259" t="s">
        <v>449</v>
      </c>
      <c r="J259" t="s">
        <v>717</v>
      </c>
      <c r="K259" t="s">
        <v>459</v>
      </c>
      <c r="L259" s="1"/>
      <c r="M259" s="1"/>
    </row>
    <row r="260" spans="1:13" x14ac:dyDescent="0.2">
      <c r="A260" s="1" t="s">
        <v>262</v>
      </c>
      <c r="B260" s="1">
        <v>0.30840000000000001</v>
      </c>
      <c r="C260" s="1">
        <v>0.34820000000000001</v>
      </c>
      <c r="D260" s="1">
        <v>0.34339999999999998</v>
      </c>
      <c r="E260" s="1">
        <f>C260/D260</f>
        <v>1.0139778683750729</v>
      </c>
      <c r="F260" s="1" t="str">
        <f>IF(B260&lt;0.7,"True","False")</f>
        <v>True</v>
      </c>
      <c r="G260" s="1" t="b">
        <f>IF(OR(E260&gt;1.5,E260&lt;0.5),TRUE,FALSE)</f>
        <v>0</v>
      </c>
      <c r="H260" s="1" t="b">
        <f>IF(AND(E260&lt;1.5,E260&gt;0.5),TRUE,FALSE)</f>
        <v>1</v>
      </c>
      <c r="I260" t="s">
        <v>449</v>
      </c>
      <c r="J260" t="s">
        <v>718</v>
      </c>
      <c r="K260" t="s">
        <v>459</v>
      </c>
      <c r="L260" s="1"/>
      <c r="M260" s="1"/>
    </row>
    <row r="261" spans="1:13" x14ac:dyDescent="0.2">
      <c r="A261" s="1" t="s">
        <v>263</v>
      </c>
      <c r="B261" s="1">
        <v>0.50880000000000003</v>
      </c>
      <c r="C261" s="1">
        <v>0.2477</v>
      </c>
      <c r="D261" s="1">
        <v>0.24340000000000001</v>
      </c>
      <c r="E261" s="1">
        <f>C261/D261</f>
        <v>1.0176663927691043</v>
      </c>
      <c r="F261" s="1" t="str">
        <f>IF(B261&lt;0.7,"True","False")</f>
        <v>True</v>
      </c>
      <c r="G261" s="1" t="b">
        <f>IF(OR(E261&gt;1.5,E261&lt;0.5),TRUE,FALSE)</f>
        <v>0</v>
      </c>
      <c r="H261" s="1" t="b">
        <f>IF(AND(E261&lt;1.5,E261&gt;0.5),TRUE,FALSE)</f>
        <v>1</v>
      </c>
      <c r="I261" t="s">
        <v>449</v>
      </c>
      <c r="J261" t="s">
        <v>719</v>
      </c>
      <c r="K261" t="s">
        <v>459</v>
      </c>
      <c r="L261" s="1"/>
      <c r="M261" s="1"/>
    </row>
    <row r="262" spans="1:13" x14ac:dyDescent="0.2">
      <c r="A262" s="1" t="s">
        <v>264</v>
      </c>
      <c r="B262" s="1">
        <v>0.51580000000000004</v>
      </c>
      <c r="C262" s="1">
        <v>9.9000000000000008E-3</v>
      </c>
      <c r="D262" s="1">
        <v>0.4743</v>
      </c>
      <c r="E262" s="1">
        <f>C262/D262</f>
        <v>2.0872865275142316E-2</v>
      </c>
      <c r="F262" s="1" t="str">
        <f>IF(B262&lt;0.7,"True","False")</f>
        <v>True</v>
      </c>
      <c r="G262" s="1" t="b">
        <f>IF(OR(E262&gt;1.5,E262&lt;0.5),TRUE,FALSE)</f>
        <v>1</v>
      </c>
      <c r="H262" s="1" t="b">
        <f>IF(AND(E262&lt;1.5,E262&gt;0.5),TRUE,FALSE)</f>
        <v>0</v>
      </c>
      <c r="I262" t="s">
        <v>450</v>
      </c>
      <c r="J262" t="s">
        <v>720</v>
      </c>
      <c r="K262" t="s">
        <v>468</v>
      </c>
      <c r="L262" s="1"/>
      <c r="M262" s="1"/>
    </row>
    <row r="263" spans="1:13" x14ac:dyDescent="0.2">
      <c r="A263" s="1" t="s">
        <v>265</v>
      </c>
      <c r="B263" s="1">
        <v>0.16120000000000001</v>
      </c>
      <c r="C263" s="1">
        <v>8.6E-3</v>
      </c>
      <c r="D263" s="1">
        <v>0.83020000000000005</v>
      </c>
      <c r="E263" s="1">
        <f>C263/D263</f>
        <v>1.035894965068658E-2</v>
      </c>
      <c r="F263" s="1" t="str">
        <f>IF(B263&lt;0.7,"True","False")</f>
        <v>True</v>
      </c>
      <c r="G263" s="1" t="b">
        <f>IF(OR(E263&gt;1.5,E263&lt;0.5),TRUE,FALSE)</f>
        <v>1</v>
      </c>
      <c r="H263" s="1" t="b">
        <f>IF(AND(E263&lt;1.5,E263&gt;0.5),TRUE,FALSE)</f>
        <v>0</v>
      </c>
      <c r="I263" t="s">
        <v>450</v>
      </c>
      <c r="J263" t="s">
        <v>721</v>
      </c>
      <c r="K263" t="s">
        <v>468</v>
      </c>
      <c r="L263" s="1"/>
      <c r="M263" s="1"/>
    </row>
    <row r="264" spans="1:13" x14ac:dyDescent="0.2">
      <c r="A264" s="1" t="s">
        <v>266</v>
      </c>
      <c r="B264" s="1">
        <v>0.77290000000000003</v>
      </c>
      <c r="C264" s="1">
        <v>0.113</v>
      </c>
      <c r="D264" s="1">
        <v>0.11409999999999999</v>
      </c>
      <c r="E264" s="1">
        <f>C264/D264</f>
        <v>0.99035933391761621</v>
      </c>
      <c r="F264" s="1" t="str">
        <f>IF(B264&lt;0.7,"True","False")</f>
        <v>False</v>
      </c>
      <c r="G264" s="1" t="b">
        <f>IF(OR(E264&gt;1.5,E264&lt;0.5),TRUE,FALSE)</f>
        <v>0</v>
      </c>
      <c r="H264" s="1" t="b">
        <f>IF(AND(E264&lt;1.5,E264&gt;0.5),TRUE,FALSE)</f>
        <v>1</v>
      </c>
      <c r="I264" t="s">
        <v>449</v>
      </c>
      <c r="J264" t="s">
        <v>722</v>
      </c>
      <c r="K264" t="s">
        <v>459</v>
      </c>
      <c r="L264" s="1"/>
      <c r="M264" s="1"/>
    </row>
    <row r="265" spans="1:13" x14ac:dyDescent="0.2">
      <c r="A265" s="1" t="s">
        <v>267</v>
      </c>
      <c r="B265" s="1">
        <v>0.86329999999999996</v>
      </c>
      <c r="C265" s="1">
        <v>6.8199999999999997E-2</v>
      </c>
      <c r="D265" s="1">
        <v>6.8599999999999994E-2</v>
      </c>
      <c r="E265" s="1">
        <f>C265/D265</f>
        <v>0.99416909620991256</v>
      </c>
      <c r="F265" s="1" t="str">
        <f>IF(B265&lt;0.7,"True","False")</f>
        <v>False</v>
      </c>
      <c r="G265" s="1" t="b">
        <f>IF(OR(E265&gt;1.5,E265&lt;0.5),TRUE,FALSE)</f>
        <v>0</v>
      </c>
      <c r="H265" s="1" t="b">
        <f>IF(AND(E265&lt;1.5,E265&gt;0.5),TRUE,FALSE)</f>
        <v>1</v>
      </c>
      <c r="I265" t="s">
        <v>449</v>
      </c>
      <c r="J265" t="s">
        <v>723</v>
      </c>
      <c r="K265" t="s">
        <v>459</v>
      </c>
      <c r="L265" s="1"/>
      <c r="M265" s="1"/>
    </row>
    <row r="266" spans="1:13" x14ac:dyDescent="0.2">
      <c r="A266" s="1" t="s">
        <v>268</v>
      </c>
      <c r="B266" s="1">
        <v>0.63580000000000003</v>
      </c>
      <c r="C266" s="1">
        <v>7.3000000000000001E-3</v>
      </c>
      <c r="D266" s="1">
        <v>0.3569</v>
      </c>
      <c r="E266" s="1">
        <f>C266/D266</f>
        <v>2.0453908657887362E-2</v>
      </c>
      <c r="F266" s="1" t="str">
        <f>IF(B266&lt;0.7,"True","False")</f>
        <v>True</v>
      </c>
      <c r="G266" s="1" t="b">
        <f>IF(OR(E266&gt;1.5,E266&lt;0.5),TRUE,FALSE)</f>
        <v>1</v>
      </c>
      <c r="H266" s="1" t="b">
        <f>IF(AND(E266&lt;1.5,E266&gt;0.5),TRUE,FALSE)</f>
        <v>0</v>
      </c>
      <c r="I266" t="s">
        <v>450</v>
      </c>
      <c r="J266" t="s">
        <v>724</v>
      </c>
      <c r="K266" t="s">
        <v>468</v>
      </c>
      <c r="L266" s="1"/>
      <c r="M266" s="1"/>
    </row>
    <row r="267" spans="1:13" x14ac:dyDescent="0.2">
      <c r="A267" s="1" t="s">
        <v>269</v>
      </c>
      <c r="B267" s="1">
        <v>0.995</v>
      </c>
      <c r="C267" s="1">
        <v>2.9999999999999997E-4</v>
      </c>
      <c r="D267" s="1">
        <v>4.5999999999999999E-3</v>
      </c>
      <c r="E267" s="1">
        <f>C267/D267</f>
        <v>6.5217391304347824E-2</v>
      </c>
      <c r="F267" s="1" t="str">
        <f>IF(B267&lt;0.7,"True","False")</f>
        <v>False</v>
      </c>
      <c r="G267" s="1" t="b">
        <f>IF(OR(E267&gt;1.5,E267&lt;0.5),TRUE,FALSE)</f>
        <v>1</v>
      </c>
      <c r="H267" s="1" t="b">
        <f>IF(AND(E267&lt;1.5,E267&gt;0.5),TRUE,FALSE)</f>
        <v>0</v>
      </c>
      <c r="I267" t="s">
        <v>450</v>
      </c>
      <c r="J267" t="s">
        <v>725</v>
      </c>
      <c r="K267" t="s">
        <v>468</v>
      </c>
      <c r="L267" s="1"/>
      <c r="M267" s="1"/>
    </row>
    <row r="268" spans="1:13" x14ac:dyDescent="0.2">
      <c r="A268" s="1" t="s">
        <v>270</v>
      </c>
      <c r="B268" s="1">
        <v>0.53739999999999999</v>
      </c>
      <c r="C268" s="1">
        <v>2.7000000000000001E-3</v>
      </c>
      <c r="D268" s="1">
        <v>0.45989999999999998</v>
      </c>
      <c r="E268" s="1">
        <f>C268/D268</f>
        <v>5.870841487279844E-3</v>
      </c>
      <c r="F268" s="1" t="str">
        <f>IF(B268&lt;0.7,"True","False")</f>
        <v>True</v>
      </c>
      <c r="G268" s="1" t="b">
        <f>IF(OR(E268&gt;1.5,E268&lt;0.5),TRUE,FALSE)</f>
        <v>1</v>
      </c>
      <c r="H268" s="1" t="b">
        <f>IF(AND(E268&lt;1.5,E268&gt;0.5),TRUE,FALSE)</f>
        <v>0</v>
      </c>
      <c r="I268" t="s">
        <v>450</v>
      </c>
      <c r="J268" t="s">
        <v>726</v>
      </c>
      <c r="K268" t="s">
        <v>468</v>
      </c>
      <c r="L268" s="1"/>
      <c r="M268" s="1"/>
    </row>
    <row r="269" spans="1:13" x14ac:dyDescent="0.2">
      <c r="A269" s="1" t="s">
        <v>271</v>
      </c>
      <c r="B269" s="1">
        <v>0.54859999999999998</v>
      </c>
      <c r="C269" s="1">
        <v>5.5999999999999999E-3</v>
      </c>
      <c r="D269" s="1">
        <v>0.44579999999999997</v>
      </c>
      <c r="E269" s="1">
        <f>C269/D269</f>
        <v>1.256168685509197E-2</v>
      </c>
      <c r="F269" s="1" t="str">
        <f>IF(B269&lt;0.7,"True","False")</f>
        <v>True</v>
      </c>
      <c r="G269" s="1" t="b">
        <f>IF(OR(E269&gt;1.5,E269&lt;0.5),TRUE,FALSE)</f>
        <v>1</v>
      </c>
      <c r="H269" s="1" t="b">
        <f>IF(AND(E269&lt;1.5,E269&gt;0.5),TRUE,FALSE)</f>
        <v>0</v>
      </c>
      <c r="I269" t="s">
        <v>450</v>
      </c>
      <c r="J269" t="s">
        <v>727</v>
      </c>
      <c r="K269" t="s">
        <v>468</v>
      </c>
      <c r="L269" s="1"/>
      <c r="M269" s="1"/>
    </row>
    <row r="270" spans="1:13" x14ac:dyDescent="0.2">
      <c r="A270" s="1" t="s">
        <v>272</v>
      </c>
      <c r="B270" s="1">
        <v>0.58079999999999998</v>
      </c>
      <c r="C270" s="1">
        <v>7.9000000000000008E-3</v>
      </c>
      <c r="D270" s="1">
        <v>0.4113</v>
      </c>
      <c r="E270" s="1">
        <f>C270/D270</f>
        <v>1.9207391198638464E-2</v>
      </c>
      <c r="F270" s="1" t="str">
        <f>IF(B270&lt;0.7,"True","False")</f>
        <v>True</v>
      </c>
      <c r="G270" s="1" t="b">
        <f>IF(OR(E270&gt;1.5,E270&lt;0.5),TRUE,FALSE)</f>
        <v>1</v>
      </c>
      <c r="H270" s="1" t="b">
        <f>IF(AND(E270&lt;1.5,E270&gt;0.5),TRUE,FALSE)</f>
        <v>0</v>
      </c>
      <c r="I270" t="s">
        <v>450</v>
      </c>
      <c r="J270" t="s">
        <v>728</v>
      </c>
      <c r="K270" t="s">
        <v>468</v>
      </c>
      <c r="L270" s="1"/>
      <c r="M270" s="1"/>
    </row>
    <row r="271" spans="1:13" x14ac:dyDescent="0.2">
      <c r="A271" s="1" t="s">
        <v>273</v>
      </c>
      <c r="B271" s="1">
        <v>0.6663</v>
      </c>
      <c r="C271" s="1">
        <v>2.5000000000000001E-3</v>
      </c>
      <c r="D271" s="1">
        <v>0.33129999999999998</v>
      </c>
      <c r="E271" s="1">
        <f>C271/D271</f>
        <v>7.5460307878056146E-3</v>
      </c>
      <c r="F271" s="1" t="str">
        <f>IF(B271&lt;0.7,"True","False")</f>
        <v>True</v>
      </c>
      <c r="G271" s="1" t="b">
        <f>IF(OR(E271&gt;1.5,E271&lt;0.5),TRUE,FALSE)</f>
        <v>1</v>
      </c>
      <c r="H271" s="1" t="b">
        <f>IF(AND(E271&lt;1.5,E271&gt;0.5),TRUE,FALSE)</f>
        <v>0</v>
      </c>
      <c r="I271" t="s">
        <v>450</v>
      </c>
      <c r="J271" t="s">
        <v>729</v>
      </c>
      <c r="K271" t="s">
        <v>468</v>
      </c>
      <c r="L271" s="1"/>
      <c r="M271" s="1"/>
    </row>
    <row r="272" spans="1:13" x14ac:dyDescent="0.2">
      <c r="A272" s="1" t="s">
        <v>274</v>
      </c>
      <c r="B272" s="1">
        <v>0.26350000000000001</v>
      </c>
      <c r="C272" s="1">
        <v>0.37290000000000001</v>
      </c>
      <c r="D272" s="1">
        <v>0.36359999999999998</v>
      </c>
      <c r="E272" s="1">
        <f>C272/D272</f>
        <v>1.0255775577557757</v>
      </c>
      <c r="F272" s="1" t="str">
        <f>IF(B272&lt;0.7,"True","False")</f>
        <v>True</v>
      </c>
      <c r="G272" s="1" t="b">
        <f>IF(OR(E272&gt;1.5,E272&lt;0.5),TRUE,FALSE)</f>
        <v>0</v>
      </c>
      <c r="H272" s="1" t="b">
        <f>IF(AND(E272&lt;1.5,E272&gt;0.5),TRUE,FALSE)</f>
        <v>1</v>
      </c>
      <c r="I272" t="s">
        <v>449</v>
      </c>
      <c r="J272" t="s">
        <v>730</v>
      </c>
      <c r="K272" t="s">
        <v>459</v>
      </c>
      <c r="L272" s="1"/>
      <c r="M272" s="1"/>
    </row>
    <row r="273" spans="1:13" x14ac:dyDescent="0.2">
      <c r="A273" s="1" t="s">
        <v>275</v>
      </c>
      <c r="B273" s="1">
        <v>0.5575</v>
      </c>
      <c r="C273" s="1">
        <v>0.224</v>
      </c>
      <c r="D273" s="1">
        <v>0.2185</v>
      </c>
      <c r="E273" s="1">
        <f>C273/D273</f>
        <v>1.0251716247139588</v>
      </c>
      <c r="F273" s="1" t="str">
        <f>IF(B273&lt;0.7,"True","False")</f>
        <v>True</v>
      </c>
      <c r="G273" s="1" t="b">
        <f>IF(OR(E273&gt;1.5,E273&lt;0.5),TRUE,FALSE)</f>
        <v>0</v>
      </c>
      <c r="H273" s="1" t="b">
        <f>IF(AND(E273&lt;1.5,E273&gt;0.5),TRUE,FALSE)</f>
        <v>1</v>
      </c>
      <c r="I273" t="s">
        <v>449</v>
      </c>
      <c r="J273" t="s">
        <v>731</v>
      </c>
      <c r="K273" t="s">
        <v>459</v>
      </c>
      <c r="L273" s="1"/>
      <c r="M273" s="1"/>
    </row>
    <row r="274" spans="1:13" x14ac:dyDescent="0.2">
      <c r="A274" s="1" t="s">
        <v>276</v>
      </c>
      <c r="B274" s="1">
        <v>0.35770000000000002</v>
      </c>
      <c r="C274" s="1">
        <v>7.7000000000000002E-3</v>
      </c>
      <c r="D274" s="1">
        <v>0.63460000000000005</v>
      </c>
      <c r="E274" s="1">
        <f>C274/D274</f>
        <v>1.2133627481878347E-2</v>
      </c>
      <c r="F274" s="1" t="str">
        <f>IF(B274&lt;0.7,"True","False")</f>
        <v>True</v>
      </c>
      <c r="G274" s="1" t="b">
        <f>IF(OR(E274&gt;1.5,E274&lt;0.5),TRUE,FALSE)</f>
        <v>1</v>
      </c>
      <c r="H274" s="1" t="b">
        <f>IF(AND(E274&lt;1.5,E274&gt;0.5),TRUE,FALSE)</f>
        <v>0</v>
      </c>
      <c r="I274" t="s">
        <v>450</v>
      </c>
      <c r="J274" t="s">
        <v>732</v>
      </c>
      <c r="K274" t="s">
        <v>468</v>
      </c>
      <c r="L274" s="1"/>
      <c r="M274" s="1"/>
    </row>
    <row r="275" spans="1:13" x14ac:dyDescent="0.2">
      <c r="A275" s="1" t="s">
        <v>277</v>
      </c>
      <c r="B275" s="1">
        <v>0.99429999999999996</v>
      </c>
      <c r="C275" s="1">
        <v>1E-3</v>
      </c>
      <c r="D275" s="1">
        <v>4.7000000000000002E-3</v>
      </c>
      <c r="E275" s="1">
        <f>C275/D275</f>
        <v>0.21276595744680851</v>
      </c>
      <c r="F275" s="1" t="str">
        <f>IF(B275&lt;0.7,"True","False")</f>
        <v>False</v>
      </c>
      <c r="G275" s="1" t="b">
        <f>IF(OR(E275&gt;1.5,E275&lt;0.5),TRUE,FALSE)</f>
        <v>1</v>
      </c>
      <c r="H275" s="1" t="b">
        <f>IF(AND(E275&lt;1.5,E275&gt;0.5),TRUE,FALSE)</f>
        <v>0</v>
      </c>
      <c r="I275" t="s">
        <v>450</v>
      </c>
      <c r="J275" t="s">
        <v>733</v>
      </c>
      <c r="K275" t="s">
        <v>468</v>
      </c>
      <c r="L275" s="1"/>
      <c r="M275" s="1"/>
    </row>
    <row r="276" spans="1:13" x14ac:dyDescent="0.2">
      <c r="A276" s="1" t="s">
        <v>278</v>
      </c>
      <c r="B276" s="1">
        <v>0.36370000000000002</v>
      </c>
      <c r="C276" s="1">
        <v>9.7999999999999997E-3</v>
      </c>
      <c r="D276" s="1">
        <v>0.62649999999999995</v>
      </c>
      <c r="E276" s="1">
        <f>C276/D276</f>
        <v>1.564245810055866E-2</v>
      </c>
      <c r="F276" s="1" t="str">
        <f>IF(B276&lt;0.7,"True","False")</f>
        <v>True</v>
      </c>
      <c r="G276" s="1" t="b">
        <f>IF(OR(E276&gt;1.5,E276&lt;0.5),TRUE,FALSE)</f>
        <v>1</v>
      </c>
      <c r="H276" s="1" t="b">
        <f>IF(AND(E276&lt;1.5,E276&gt;0.5),TRUE,FALSE)</f>
        <v>0</v>
      </c>
      <c r="I276" t="s">
        <v>450</v>
      </c>
      <c r="J276" t="s">
        <v>734</v>
      </c>
      <c r="K276" t="s">
        <v>468</v>
      </c>
      <c r="L276" s="1"/>
      <c r="M276" s="1"/>
    </row>
    <row r="277" spans="1:13" x14ac:dyDescent="0.2">
      <c r="A277" s="1" t="s">
        <v>279</v>
      </c>
      <c r="B277" s="1">
        <v>0.84309999999999996</v>
      </c>
      <c r="C277" s="1">
        <v>4.4000000000000003E-3</v>
      </c>
      <c r="D277" s="1">
        <v>0.1525</v>
      </c>
      <c r="E277" s="1">
        <f>C277/D277</f>
        <v>2.8852459016393446E-2</v>
      </c>
      <c r="F277" s="1" t="str">
        <f>IF(B277&lt;0.7,"True","False")</f>
        <v>False</v>
      </c>
      <c r="G277" s="1" t="b">
        <f>IF(OR(E277&gt;1.5,E277&lt;0.5),TRUE,FALSE)</f>
        <v>1</v>
      </c>
      <c r="H277" s="1" t="b">
        <f>IF(AND(E277&lt;1.5,E277&gt;0.5),TRUE,FALSE)</f>
        <v>0</v>
      </c>
      <c r="I277" t="s">
        <v>450</v>
      </c>
      <c r="J277" t="s">
        <v>735</v>
      </c>
      <c r="K277" t="s">
        <v>468</v>
      </c>
      <c r="L277" s="1"/>
      <c r="M277" s="1"/>
    </row>
    <row r="278" spans="1:13" x14ac:dyDescent="0.2">
      <c r="A278" s="1" t="s">
        <v>280</v>
      </c>
      <c r="B278" s="1">
        <v>0.99319999999999997</v>
      </c>
      <c r="C278" s="1">
        <v>1.4E-3</v>
      </c>
      <c r="D278" s="1">
        <v>5.3E-3</v>
      </c>
      <c r="E278" s="1">
        <f>C278/D278</f>
        <v>0.26415094339622641</v>
      </c>
      <c r="F278" s="1" t="str">
        <f>IF(B278&lt;0.7,"True","False")</f>
        <v>False</v>
      </c>
      <c r="G278" s="1" t="b">
        <f>IF(OR(E278&gt;1.5,E278&lt;0.5),TRUE,FALSE)</f>
        <v>1</v>
      </c>
      <c r="H278" s="1" t="b">
        <f>IF(AND(E278&lt;1.5,E278&gt;0.5),TRUE,FALSE)</f>
        <v>0</v>
      </c>
      <c r="I278" t="s">
        <v>450</v>
      </c>
      <c r="J278" t="s">
        <v>736</v>
      </c>
      <c r="K278" t="s">
        <v>468</v>
      </c>
      <c r="L278" s="1"/>
      <c r="M278" s="1"/>
    </row>
    <row r="279" spans="1:13" x14ac:dyDescent="0.2">
      <c r="A279" s="1" t="s">
        <v>281</v>
      </c>
      <c r="B279" s="1">
        <v>0.99080000000000001</v>
      </c>
      <c r="C279" s="1">
        <v>3.2000000000000002E-3</v>
      </c>
      <c r="D279" s="1">
        <v>6.0000000000000001E-3</v>
      </c>
      <c r="E279" s="1">
        <f>C279/D279</f>
        <v>0.53333333333333333</v>
      </c>
      <c r="F279" s="1" t="str">
        <f>IF(B279&lt;0.7,"True","False")</f>
        <v>False</v>
      </c>
      <c r="G279" s="1" t="b">
        <f>IF(OR(E279&gt;1.5,E279&lt;0.5),TRUE,FALSE)</f>
        <v>0</v>
      </c>
      <c r="H279" s="1" t="b">
        <f>IF(AND(E279&lt;1.5,E279&gt;0.5),TRUE,FALSE)</f>
        <v>1</v>
      </c>
      <c r="I279" t="s">
        <v>449</v>
      </c>
      <c r="J279" t="s">
        <v>737</v>
      </c>
      <c r="K279" t="s">
        <v>468</v>
      </c>
      <c r="L279" s="1"/>
      <c r="M279" s="1"/>
    </row>
    <row r="280" spans="1:13" x14ac:dyDescent="0.2">
      <c r="A280" s="1" t="s">
        <v>282</v>
      </c>
      <c r="B280" s="1">
        <v>0.99390000000000001</v>
      </c>
      <c r="C280" s="1">
        <v>1.4E-3</v>
      </c>
      <c r="D280" s="1">
        <v>4.7000000000000002E-3</v>
      </c>
      <c r="E280" s="1">
        <f>C280/D280</f>
        <v>0.2978723404255319</v>
      </c>
      <c r="F280" s="1" t="str">
        <f>IF(B280&lt;0.7,"True","False")</f>
        <v>False</v>
      </c>
      <c r="G280" s="1" t="b">
        <f>IF(OR(E280&gt;1.5,E280&lt;0.5),TRUE,FALSE)</f>
        <v>1</v>
      </c>
      <c r="H280" s="1" t="b">
        <f>IF(AND(E280&lt;1.5,E280&gt;0.5),TRUE,FALSE)</f>
        <v>0</v>
      </c>
      <c r="I280" t="s">
        <v>450</v>
      </c>
      <c r="J280" t="s">
        <v>738</v>
      </c>
      <c r="K280" t="s">
        <v>468</v>
      </c>
      <c r="L280" s="1"/>
      <c r="M280" s="1"/>
    </row>
    <row r="281" spans="1:13" x14ac:dyDescent="0.2">
      <c r="A281" s="1" t="s">
        <v>283</v>
      </c>
      <c r="B281" s="1">
        <v>0.99760000000000004</v>
      </c>
      <c r="C281" s="1">
        <v>2.9999999999999997E-4</v>
      </c>
      <c r="D281" s="1">
        <v>2E-3</v>
      </c>
      <c r="E281" s="1">
        <f>C281/D281</f>
        <v>0.15</v>
      </c>
      <c r="F281" s="1" t="str">
        <f>IF(B281&lt;0.7,"True","False")</f>
        <v>False</v>
      </c>
      <c r="G281" s="1" t="b">
        <f>IF(OR(E281&gt;1.5,E281&lt;0.5),TRUE,FALSE)</f>
        <v>1</v>
      </c>
      <c r="H281" s="1" t="b">
        <f>IF(AND(E281&lt;1.5,E281&gt;0.5),TRUE,FALSE)</f>
        <v>0</v>
      </c>
      <c r="I281" t="s">
        <v>450</v>
      </c>
      <c r="J281" t="s">
        <v>739</v>
      </c>
      <c r="K281" t="s">
        <v>468</v>
      </c>
      <c r="L281" s="1"/>
      <c r="M281" s="1"/>
    </row>
    <row r="282" spans="1:13" x14ac:dyDescent="0.2">
      <c r="A282" s="1" t="s">
        <v>284</v>
      </c>
      <c r="B282" s="1">
        <v>0.13100000000000001</v>
      </c>
      <c r="C282" s="1">
        <v>0.43809999999999999</v>
      </c>
      <c r="D282" s="1">
        <v>0.43090000000000001</v>
      </c>
      <c r="E282" s="1">
        <f>C282/D282</f>
        <v>1.0167092132745417</v>
      </c>
      <c r="F282" s="1" t="str">
        <f>IF(B282&lt;0.7,"True","False")</f>
        <v>True</v>
      </c>
      <c r="G282" s="1" t="b">
        <f>IF(OR(E282&gt;1.5,E282&lt;0.5),TRUE,FALSE)</f>
        <v>0</v>
      </c>
      <c r="H282" s="1" t="b">
        <f>IF(AND(E282&lt;1.5,E282&gt;0.5),TRUE,FALSE)</f>
        <v>1</v>
      </c>
      <c r="I282" t="s">
        <v>449</v>
      </c>
      <c r="J282" t="s">
        <v>740</v>
      </c>
      <c r="K282" t="s">
        <v>459</v>
      </c>
      <c r="L282" s="1"/>
      <c r="M282" s="1"/>
    </row>
    <row r="283" spans="1:13" x14ac:dyDescent="0.2">
      <c r="A283" s="1" t="s">
        <v>285</v>
      </c>
      <c r="B283" s="1">
        <v>0.53510000000000002</v>
      </c>
      <c r="C283" s="1">
        <v>0.23330000000000001</v>
      </c>
      <c r="D283" s="1">
        <v>0.2316</v>
      </c>
      <c r="E283" s="1">
        <f>C283/D283</f>
        <v>1.0073402417962003</v>
      </c>
      <c r="F283" s="1" t="str">
        <f>IF(B283&lt;0.7,"True","False")</f>
        <v>True</v>
      </c>
      <c r="G283" s="1" t="b">
        <f>IF(OR(E283&gt;1.5,E283&lt;0.5),TRUE,FALSE)</f>
        <v>0</v>
      </c>
      <c r="H283" s="1" t="b">
        <f>IF(AND(E283&lt;1.5,E283&gt;0.5),TRUE,FALSE)</f>
        <v>1</v>
      </c>
      <c r="I283" t="s">
        <v>449</v>
      </c>
      <c r="J283" t="s">
        <v>741</v>
      </c>
      <c r="K283" t="s">
        <v>459</v>
      </c>
      <c r="L283" s="1"/>
      <c r="M283" s="1"/>
    </row>
    <row r="284" spans="1:13" x14ac:dyDescent="0.2">
      <c r="A284" s="1" t="s">
        <v>286</v>
      </c>
      <c r="B284" s="1">
        <v>0.25480000000000003</v>
      </c>
      <c r="C284" s="1">
        <v>0.37340000000000001</v>
      </c>
      <c r="D284" s="1">
        <v>0.37180000000000002</v>
      </c>
      <c r="E284" s="1">
        <f>C284/D284</f>
        <v>1.0043033889187736</v>
      </c>
      <c r="F284" s="1" t="str">
        <f>IF(B284&lt;0.7,"True","False")</f>
        <v>True</v>
      </c>
      <c r="G284" s="1" t="b">
        <f>IF(OR(E284&gt;1.5,E284&lt;0.5),TRUE,FALSE)</f>
        <v>0</v>
      </c>
      <c r="H284" s="1" t="b">
        <f>IF(AND(E284&lt;1.5,E284&gt;0.5),TRUE,FALSE)</f>
        <v>1</v>
      </c>
      <c r="I284" t="s">
        <v>449</v>
      </c>
      <c r="J284" t="s">
        <v>742</v>
      </c>
      <c r="K284" t="s">
        <v>459</v>
      </c>
      <c r="L284" s="1"/>
      <c r="M284" s="1"/>
    </row>
    <row r="285" spans="1:13" x14ac:dyDescent="0.2">
      <c r="A285" s="1" t="s">
        <v>287</v>
      </c>
      <c r="B285" s="1">
        <v>0.39040000000000002</v>
      </c>
      <c r="C285" s="1">
        <v>0.30409999999999998</v>
      </c>
      <c r="D285" s="1">
        <v>0.30549999999999999</v>
      </c>
      <c r="E285" s="1">
        <f>C285/D285</f>
        <v>0.9954173486088379</v>
      </c>
      <c r="F285" s="1" t="str">
        <f>IF(B285&lt;0.7,"True","False")</f>
        <v>True</v>
      </c>
      <c r="G285" s="1" t="b">
        <f>IF(OR(E285&gt;1.5,E285&lt;0.5),TRUE,FALSE)</f>
        <v>0</v>
      </c>
      <c r="H285" s="1" t="b">
        <f>IF(AND(E285&lt;1.5,E285&gt;0.5),TRUE,FALSE)</f>
        <v>1</v>
      </c>
      <c r="I285" t="s">
        <v>449</v>
      </c>
      <c r="J285" t="s">
        <v>743</v>
      </c>
      <c r="K285" t="s">
        <v>459</v>
      </c>
      <c r="L285" s="1"/>
      <c r="M285" s="1"/>
    </row>
    <row r="286" spans="1:13" x14ac:dyDescent="0.2">
      <c r="A286" s="1" t="s">
        <v>288</v>
      </c>
      <c r="B286" s="1">
        <v>0.80689999999999995</v>
      </c>
      <c r="C286" s="1">
        <v>4.5999999999999999E-3</v>
      </c>
      <c r="D286" s="1">
        <v>0.1885</v>
      </c>
      <c r="E286" s="1">
        <f>C286/D286</f>
        <v>2.440318302387268E-2</v>
      </c>
      <c r="F286" s="1" t="str">
        <f>IF(B286&lt;0.7,"True","False")</f>
        <v>False</v>
      </c>
      <c r="G286" s="1" t="b">
        <f>IF(OR(E286&gt;1.5,E286&lt;0.5),TRUE,FALSE)</f>
        <v>1</v>
      </c>
      <c r="H286" s="1" t="b">
        <f>IF(AND(E286&lt;1.5,E286&gt;0.5),TRUE,FALSE)</f>
        <v>0</v>
      </c>
      <c r="I286" t="s">
        <v>450</v>
      </c>
      <c r="J286" t="s">
        <v>744</v>
      </c>
      <c r="K286" t="s">
        <v>468</v>
      </c>
      <c r="L286" s="1"/>
      <c r="M286" s="1"/>
    </row>
    <row r="287" spans="1:13" x14ac:dyDescent="0.2">
      <c r="A287" s="1" t="s">
        <v>289</v>
      </c>
      <c r="B287" s="1">
        <v>0.99590000000000001</v>
      </c>
      <c r="C287" s="1">
        <v>8.9999999999999998E-4</v>
      </c>
      <c r="D287" s="1">
        <v>3.2000000000000002E-3</v>
      </c>
      <c r="E287" s="1">
        <f>C287/D287</f>
        <v>0.28125</v>
      </c>
      <c r="F287" s="1" t="str">
        <f>IF(B287&lt;0.7,"True","False")</f>
        <v>False</v>
      </c>
      <c r="G287" s="1" t="b">
        <f>IF(OR(E287&gt;1.5,E287&lt;0.5),TRUE,FALSE)</f>
        <v>1</v>
      </c>
      <c r="H287" s="1" t="b">
        <f>IF(AND(E287&lt;1.5,E287&gt;0.5),TRUE,FALSE)</f>
        <v>0</v>
      </c>
      <c r="I287" t="s">
        <v>450</v>
      </c>
      <c r="J287" t="s">
        <v>745</v>
      </c>
      <c r="K287" t="s">
        <v>468</v>
      </c>
      <c r="L287" s="1"/>
      <c r="M287" s="1"/>
    </row>
    <row r="288" spans="1:13" x14ac:dyDescent="0.2">
      <c r="A288" s="1" t="s">
        <v>290</v>
      </c>
      <c r="B288" s="1">
        <v>0.59099999999999997</v>
      </c>
      <c r="C288" s="1">
        <v>6.6E-3</v>
      </c>
      <c r="D288" s="1">
        <v>0.40239999999999998</v>
      </c>
      <c r="E288" s="1">
        <f>C288/D288</f>
        <v>1.6401590457256462E-2</v>
      </c>
      <c r="F288" s="1" t="str">
        <f>IF(B288&lt;0.7,"True","False")</f>
        <v>True</v>
      </c>
      <c r="G288" s="1" t="b">
        <f>IF(OR(E288&gt;1.5,E288&lt;0.5),TRUE,FALSE)</f>
        <v>1</v>
      </c>
      <c r="H288" s="1" t="b">
        <f>IF(AND(E288&lt;1.5,E288&gt;0.5),TRUE,FALSE)</f>
        <v>0</v>
      </c>
      <c r="I288" t="s">
        <v>450</v>
      </c>
      <c r="J288" t="s">
        <v>746</v>
      </c>
      <c r="K288" t="s">
        <v>468</v>
      </c>
      <c r="L288" s="1"/>
      <c r="M288" s="1"/>
    </row>
    <row r="289" spans="1:13" x14ac:dyDescent="0.2">
      <c r="A289" s="1" t="s">
        <v>291</v>
      </c>
      <c r="B289" s="1">
        <v>0.75129999999999997</v>
      </c>
      <c r="C289" s="1">
        <v>6.8999999999999999E-3</v>
      </c>
      <c r="D289" s="1">
        <v>0.24179999999999999</v>
      </c>
      <c r="E289" s="1">
        <f>C289/D289</f>
        <v>2.8535980148883377E-2</v>
      </c>
      <c r="F289" s="1" t="str">
        <f>IF(B289&lt;0.7,"True","False")</f>
        <v>False</v>
      </c>
      <c r="G289" s="1" t="b">
        <f>IF(OR(E289&gt;1.5,E289&lt;0.5),TRUE,FALSE)</f>
        <v>1</v>
      </c>
      <c r="H289" s="1" t="b">
        <f>IF(AND(E289&lt;1.5,E289&gt;0.5),TRUE,FALSE)</f>
        <v>0</v>
      </c>
      <c r="I289" t="s">
        <v>450</v>
      </c>
      <c r="J289" t="s">
        <v>747</v>
      </c>
      <c r="K289" t="s">
        <v>468</v>
      </c>
      <c r="L289" s="1"/>
      <c r="M289" s="1"/>
    </row>
    <row r="290" spans="1:13" x14ac:dyDescent="0.2">
      <c r="A290" s="1" t="s">
        <v>292</v>
      </c>
      <c r="B290" s="1">
        <v>0.62549999999999994</v>
      </c>
      <c r="C290" s="1">
        <v>6.0000000000000001E-3</v>
      </c>
      <c r="D290" s="1">
        <v>0.36840000000000001</v>
      </c>
      <c r="E290" s="1">
        <f>C290/D290</f>
        <v>1.6286644951140065E-2</v>
      </c>
      <c r="F290" s="1" t="str">
        <f>IF(B290&lt;0.7,"True","False")</f>
        <v>True</v>
      </c>
      <c r="G290" s="1" t="b">
        <f>IF(OR(E290&gt;1.5,E290&lt;0.5),TRUE,FALSE)</f>
        <v>1</v>
      </c>
      <c r="H290" s="1" t="b">
        <f>IF(AND(E290&lt;1.5,E290&gt;0.5),TRUE,FALSE)</f>
        <v>0</v>
      </c>
      <c r="I290" t="s">
        <v>450</v>
      </c>
      <c r="J290" t="s">
        <v>748</v>
      </c>
      <c r="K290" t="s">
        <v>468</v>
      </c>
      <c r="L290" s="1"/>
      <c r="M290" s="1"/>
    </row>
    <row r="291" spans="1:13" x14ac:dyDescent="0.2">
      <c r="A291" s="1" t="s">
        <v>293</v>
      </c>
      <c r="B291" s="1">
        <v>0.71479999999999999</v>
      </c>
      <c r="C291" s="1">
        <v>7.6E-3</v>
      </c>
      <c r="D291" s="1">
        <v>0.27760000000000001</v>
      </c>
      <c r="E291" s="1">
        <f>C291/D291</f>
        <v>2.7377521613832851E-2</v>
      </c>
      <c r="F291" s="1" t="str">
        <f>IF(B291&lt;0.7,"True","False")</f>
        <v>False</v>
      </c>
      <c r="G291" s="1" t="b">
        <f>IF(OR(E291&gt;1.5,E291&lt;0.5),TRUE,FALSE)</f>
        <v>1</v>
      </c>
      <c r="H291" s="1" t="b">
        <f>IF(AND(E291&lt;1.5,E291&gt;0.5),TRUE,FALSE)</f>
        <v>0</v>
      </c>
      <c r="I291" t="s">
        <v>450</v>
      </c>
      <c r="J291" t="s">
        <v>749</v>
      </c>
      <c r="K291" t="s">
        <v>468</v>
      </c>
      <c r="L291" s="1"/>
      <c r="M291" s="1"/>
    </row>
    <row r="292" spans="1:13" x14ac:dyDescent="0.2">
      <c r="A292" s="1" t="s">
        <v>294</v>
      </c>
      <c r="B292" s="1">
        <v>0.99480000000000002</v>
      </c>
      <c r="C292" s="1">
        <v>6.9999999999999999E-4</v>
      </c>
      <c r="D292" s="1">
        <v>4.4999999999999997E-3</v>
      </c>
      <c r="E292" s="1">
        <f>C292/D292</f>
        <v>0.15555555555555556</v>
      </c>
      <c r="F292" s="1" t="str">
        <f>IF(B292&lt;0.7,"True","False")</f>
        <v>False</v>
      </c>
      <c r="G292" s="1" t="b">
        <f>IF(OR(E292&gt;1.5,E292&lt;0.5),TRUE,FALSE)</f>
        <v>1</v>
      </c>
      <c r="H292" s="1" t="b">
        <f>IF(AND(E292&lt;1.5,E292&gt;0.5),TRUE,FALSE)</f>
        <v>0</v>
      </c>
      <c r="I292" t="s">
        <v>450</v>
      </c>
      <c r="J292" t="s">
        <v>750</v>
      </c>
      <c r="K292" t="s">
        <v>468</v>
      </c>
      <c r="L292" s="1"/>
      <c r="M292" s="1"/>
    </row>
    <row r="293" spans="1:13" x14ac:dyDescent="0.2">
      <c r="A293" s="1" t="s">
        <v>295</v>
      </c>
      <c r="B293" s="1">
        <v>0.99680000000000002</v>
      </c>
      <c r="C293" s="1">
        <v>4.0000000000000002E-4</v>
      </c>
      <c r="D293" s="1">
        <v>2.8E-3</v>
      </c>
      <c r="E293" s="1">
        <f>C293/D293</f>
        <v>0.14285714285714288</v>
      </c>
      <c r="F293" s="1" t="str">
        <f>IF(B293&lt;0.7,"True","False")</f>
        <v>False</v>
      </c>
      <c r="G293" s="1" t="b">
        <f>IF(OR(E293&gt;1.5,E293&lt;0.5),TRUE,FALSE)</f>
        <v>1</v>
      </c>
      <c r="H293" s="1" t="b">
        <f>IF(AND(E293&lt;1.5,E293&gt;0.5),TRUE,FALSE)</f>
        <v>0</v>
      </c>
      <c r="I293" t="s">
        <v>450</v>
      </c>
      <c r="J293" t="s">
        <v>751</v>
      </c>
      <c r="K293" t="s">
        <v>468</v>
      </c>
      <c r="L293" s="1"/>
      <c r="M293" s="1"/>
    </row>
    <row r="294" spans="1:13" x14ac:dyDescent="0.2">
      <c r="A294" s="1" t="s">
        <v>296</v>
      </c>
      <c r="B294" s="1">
        <v>0.34050000000000002</v>
      </c>
      <c r="C294" s="1">
        <v>0.33169999999999999</v>
      </c>
      <c r="D294" s="1">
        <v>0.32779999999999998</v>
      </c>
      <c r="E294" s="1">
        <f>C294/D294</f>
        <v>1.0118974984746798</v>
      </c>
      <c r="F294" s="1" t="str">
        <f>IF(B294&lt;0.7,"True","False")</f>
        <v>True</v>
      </c>
      <c r="G294" s="1" t="b">
        <f>IF(OR(E294&gt;1.5,E294&lt;0.5),TRUE,FALSE)</f>
        <v>0</v>
      </c>
      <c r="H294" s="1" t="b">
        <f>IF(AND(E294&lt;1.5,E294&gt;0.5),TRUE,FALSE)</f>
        <v>1</v>
      </c>
      <c r="I294" t="s">
        <v>449</v>
      </c>
      <c r="J294" t="s">
        <v>752</v>
      </c>
      <c r="K294" t="s">
        <v>459</v>
      </c>
      <c r="L294" s="1"/>
      <c r="M294" s="1"/>
    </row>
    <row r="295" spans="1:13" x14ac:dyDescent="0.2">
      <c r="A295" s="1" t="s">
        <v>297</v>
      </c>
      <c r="B295" s="1">
        <v>0.54810000000000003</v>
      </c>
      <c r="C295" s="1">
        <v>1.32E-2</v>
      </c>
      <c r="D295" s="1">
        <v>0.43869999999999998</v>
      </c>
      <c r="E295" s="1">
        <f>C295/D295</f>
        <v>3.0088899019831319E-2</v>
      </c>
      <c r="F295" s="1" t="str">
        <f>IF(B295&lt;0.7,"True","False")</f>
        <v>True</v>
      </c>
      <c r="G295" s="1" t="b">
        <f>IF(OR(E295&gt;1.5,E295&lt;0.5),TRUE,FALSE)</f>
        <v>1</v>
      </c>
      <c r="H295" s="1" t="b">
        <f>IF(AND(E295&lt;1.5,E295&gt;0.5),TRUE,FALSE)</f>
        <v>0</v>
      </c>
      <c r="I295" t="s">
        <v>450</v>
      </c>
      <c r="J295" t="s">
        <v>753</v>
      </c>
      <c r="K295" t="s">
        <v>468</v>
      </c>
      <c r="L295" s="1"/>
      <c r="M295" s="1"/>
    </row>
    <row r="296" spans="1:13" x14ac:dyDescent="0.2">
      <c r="A296" s="1" t="s">
        <v>298</v>
      </c>
      <c r="B296" s="1">
        <v>0.58540000000000003</v>
      </c>
      <c r="C296" s="1">
        <v>8.3999999999999995E-3</v>
      </c>
      <c r="D296" s="1">
        <v>0.40610000000000002</v>
      </c>
      <c r="E296" s="1">
        <f>C296/D296</f>
        <v>2.0684560453090368E-2</v>
      </c>
      <c r="F296" s="1" t="str">
        <f>IF(B296&lt;0.7,"True","False")</f>
        <v>True</v>
      </c>
      <c r="G296" s="1" t="b">
        <f>IF(OR(E296&gt;1.5,E296&lt;0.5),TRUE,FALSE)</f>
        <v>1</v>
      </c>
      <c r="H296" s="1" t="b">
        <f>IF(AND(E296&lt;1.5,E296&gt;0.5),TRUE,FALSE)</f>
        <v>0</v>
      </c>
      <c r="I296" t="s">
        <v>450</v>
      </c>
      <c r="J296" t="s">
        <v>754</v>
      </c>
      <c r="K296" t="s">
        <v>468</v>
      </c>
      <c r="L296" s="1"/>
      <c r="M296" s="1"/>
    </row>
    <row r="297" spans="1:13" x14ac:dyDescent="0.2">
      <c r="A297" s="1" t="s">
        <v>299</v>
      </c>
      <c r="B297" s="1">
        <v>0.74250000000000005</v>
      </c>
      <c r="C297" s="1">
        <v>4.8999999999999998E-3</v>
      </c>
      <c r="D297" s="1">
        <v>0.25259999999999999</v>
      </c>
      <c r="E297" s="1">
        <f>C297/D297</f>
        <v>1.9398258115597783E-2</v>
      </c>
      <c r="F297" s="1" t="str">
        <f>IF(B297&lt;0.7,"True","False")</f>
        <v>False</v>
      </c>
      <c r="G297" s="1" t="b">
        <f>IF(OR(E297&gt;1.5,E297&lt;0.5),TRUE,FALSE)</f>
        <v>1</v>
      </c>
      <c r="H297" s="1" t="b">
        <f>IF(AND(E297&lt;1.5,E297&gt;0.5),TRUE,FALSE)</f>
        <v>0</v>
      </c>
      <c r="I297" t="s">
        <v>450</v>
      </c>
      <c r="J297" t="s">
        <v>755</v>
      </c>
      <c r="K297" t="s">
        <v>468</v>
      </c>
      <c r="L297" s="1"/>
      <c r="M297" s="1"/>
    </row>
    <row r="298" spans="1:13" x14ac:dyDescent="0.2">
      <c r="A298" s="1" t="s">
        <v>300</v>
      </c>
      <c r="B298" s="1">
        <v>0.99690000000000001</v>
      </c>
      <c r="C298" s="1">
        <v>8.9999999999999998E-4</v>
      </c>
      <c r="D298" s="1">
        <v>2.2000000000000001E-3</v>
      </c>
      <c r="E298" s="1">
        <f>C298/D298</f>
        <v>0.40909090909090906</v>
      </c>
      <c r="F298" s="1" t="str">
        <f>IF(B298&lt;0.7,"True","False")</f>
        <v>False</v>
      </c>
      <c r="G298" s="1" t="b">
        <f>IF(OR(E298&gt;1.5,E298&lt;0.5),TRUE,FALSE)</f>
        <v>1</v>
      </c>
      <c r="H298" s="1" t="b">
        <f>IF(AND(E298&lt;1.5,E298&gt;0.5),TRUE,FALSE)</f>
        <v>0</v>
      </c>
      <c r="I298" t="s">
        <v>450</v>
      </c>
      <c r="J298" t="s">
        <v>756</v>
      </c>
      <c r="K298" t="s">
        <v>468</v>
      </c>
      <c r="L298" s="1"/>
      <c r="M298" s="1"/>
    </row>
    <row r="299" spans="1:13" x14ac:dyDescent="0.2">
      <c r="A299" s="1" t="s">
        <v>301</v>
      </c>
      <c r="B299" s="1">
        <v>0.4965</v>
      </c>
      <c r="C299" s="1">
        <v>8.0999999999999996E-3</v>
      </c>
      <c r="D299" s="1">
        <v>0.49540000000000001</v>
      </c>
      <c r="E299" s="1">
        <f>C299/D299</f>
        <v>1.6350423899878886E-2</v>
      </c>
      <c r="F299" s="1" t="str">
        <f>IF(B299&lt;0.7,"True","False")</f>
        <v>True</v>
      </c>
      <c r="G299" s="1" t="b">
        <f>IF(OR(E299&gt;1.5,E299&lt;0.5),TRUE,FALSE)</f>
        <v>1</v>
      </c>
      <c r="H299" s="1" t="b">
        <f>IF(AND(E299&lt;1.5,E299&gt;0.5),TRUE,FALSE)</f>
        <v>0</v>
      </c>
      <c r="I299" t="s">
        <v>450</v>
      </c>
      <c r="J299" t="s">
        <v>757</v>
      </c>
      <c r="K299" t="s">
        <v>468</v>
      </c>
      <c r="L299" s="1"/>
      <c r="M299" s="1"/>
    </row>
    <row r="300" spans="1:13" x14ac:dyDescent="0.2">
      <c r="A300" s="1" t="s">
        <v>302</v>
      </c>
      <c r="B300" s="1">
        <v>0.38490000000000002</v>
      </c>
      <c r="C300" s="1">
        <v>7.7999999999999996E-3</v>
      </c>
      <c r="D300" s="1">
        <v>0.60740000000000005</v>
      </c>
      <c r="E300" s="1">
        <f>C300/D300</f>
        <v>1.2841620019756337E-2</v>
      </c>
      <c r="F300" s="1" t="str">
        <f>IF(B300&lt;0.7,"True","False")</f>
        <v>True</v>
      </c>
      <c r="G300" s="1" t="b">
        <f>IF(OR(E300&gt;1.5,E300&lt;0.5),TRUE,FALSE)</f>
        <v>1</v>
      </c>
      <c r="H300" s="1" t="b">
        <f>IF(AND(E300&lt;1.5,E300&gt;0.5),TRUE,FALSE)</f>
        <v>0</v>
      </c>
      <c r="I300" t="s">
        <v>450</v>
      </c>
      <c r="J300" t="s">
        <v>758</v>
      </c>
      <c r="K300" t="s">
        <v>468</v>
      </c>
      <c r="L300" s="1"/>
      <c r="M300" s="1"/>
    </row>
    <row r="301" spans="1:13" x14ac:dyDescent="0.2">
      <c r="A301" s="1" t="s">
        <v>303</v>
      </c>
      <c r="B301" s="1">
        <v>0.53029999999999999</v>
      </c>
      <c r="C301" s="1">
        <v>5.7000000000000002E-3</v>
      </c>
      <c r="D301" s="1">
        <v>0.46400000000000002</v>
      </c>
      <c r="E301" s="1">
        <f>C301/D301</f>
        <v>1.228448275862069E-2</v>
      </c>
      <c r="F301" s="1" t="str">
        <f>IF(B301&lt;0.7,"True","False")</f>
        <v>True</v>
      </c>
      <c r="G301" s="1" t="b">
        <f>IF(OR(E301&gt;1.5,E301&lt;0.5),TRUE,FALSE)</f>
        <v>1</v>
      </c>
      <c r="H301" s="1" t="b">
        <f>IF(AND(E301&lt;1.5,E301&gt;0.5),TRUE,FALSE)</f>
        <v>0</v>
      </c>
      <c r="I301" t="s">
        <v>450</v>
      </c>
      <c r="J301" t="s">
        <v>759</v>
      </c>
      <c r="K301" t="s">
        <v>468</v>
      </c>
      <c r="L301" s="1"/>
      <c r="M301" s="1"/>
    </row>
    <row r="302" spans="1:13" x14ac:dyDescent="0.2">
      <c r="A302" s="1" t="s">
        <v>304</v>
      </c>
      <c r="B302" s="1">
        <v>0.35809999999999997</v>
      </c>
      <c r="C302" s="1">
        <v>0.32300000000000001</v>
      </c>
      <c r="D302" s="1">
        <v>0.31890000000000002</v>
      </c>
      <c r="E302" s="1">
        <f>C302/D302</f>
        <v>1.0128566948886799</v>
      </c>
      <c r="F302" s="1" t="str">
        <f>IF(B302&lt;0.7,"True","False")</f>
        <v>True</v>
      </c>
      <c r="G302" s="1" t="b">
        <f>IF(OR(E302&gt;1.5,E302&lt;0.5),TRUE,FALSE)</f>
        <v>0</v>
      </c>
      <c r="H302" s="1" t="b">
        <f>IF(AND(E302&lt;1.5,E302&gt;0.5),TRUE,FALSE)</f>
        <v>1</v>
      </c>
      <c r="I302" t="s">
        <v>449</v>
      </c>
      <c r="J302" t="s">
        <v>760</v>
      </c>
      <c r="K302" t="s">
        <v>459</v>
      </c>
      <c r="L302" s="1"/>
      <c r="M302" s="1"/>
    </row>
    <row r="303" spans="1:13" x14ac:dyDescent="0.2">
      <c r="A303" s="1" t="s">
        <v>305</v>
      </c>
      <c r="B303" s="1">
        <v>0.50900000000000001</v>
      </c>
      <c r="C303" s="1">
        <v>0.2477</v>
      </c>
      <c r="D303" s="1">
        <v>0.24329999999999999</v>
      </c>
      <c r="E303" s="1">
        <f>C303/D303</f>
        <v>1.0180846691327581</v>
      </c>
      <c r="F303" s="1" t="str">
        <f>IF(B303&lt;0.7,"True","False")</f>
        <v>True</v>
      </c>
      <c r="G303" s="1" t="b">
        <f>IF(OR(E303&gt;1.5,E303&lt;0.5),TRUE,FALSE)</f>
        <v>0</v>
      </c>
      <c r="H303" s="1" t="b">
        <f>IF(AND(E303&lt;1.5,E303&gt;0.5),TRUE,FALSE)</f>
        <v>1</v>
      </c>
      <c r="I303" t="s">
        <v>449</v>
      </c>
      <c r="J303" t="s">
        <v>761</v>
      </c>
      <c r="K303" t="s">
        <v>459</v>
      </c>
      <c r="L303" s="1"/>
      <c r="M303" s="1"/>
    </row>
    <row r="304" spans="1:13" x14ac:dyDescent="0.2">
      <c r="A304" s="1" t="s">
        <v>306</v>
      </c>
      <c r="B304" s="1">
        <v>0.28699999999999998</v>
      </c>
      <c r="C304" s="1">
        <v>5.7000000000000002E-3</v>
      </c>
      <c r="D304" s="1">
        <v>0.70730000000000004</v>
      </c>
      <c r="E304" s="1">
        <f>C304/D304</f>
        <v>8.0588152127809981E-3</v>
      </c>
      <c r="F304" s="1" t="str">
        <f>IF(B304&lt;0.7,"True","False")</f>
        <v>True</v>
      </c>
      <c r="G304" s="1" t="b">
        <f>IF(OR(E304&gt;1.5,E304&lt;0.5),TRUE,FALSE)</f>
        <v>1</v>
      </c>
      <c r="H304" s="1" t="b">
        <f>IF(AND(E304&lt;1.5,E304&gt;0.5),TRUE,FALSE)</f>
        <v>0</v>
      </c>
      <c r="I304" t="s">
        <v>450</v>
      </c>
      <c r="J304" t="s">
        <v>762</v>
      </c>
      <c r="K304" t="s">
        <v>468</v>
      </c>
      <c r="L304" s="1"/>
      <c r="M304" s="1"/>
    </row>
    <row r="305" spans="1:13" x14ac:dyDescent="0.2">
      <c r="A305" s="1" t="s">
        <v>307</v>
      </c>
      <c r="B305" s="1">
        <v>0.73699999999999999</v>
      </c>
      <c r="C305" s="1">
        <v>4.5999999999999999E-3</v>
      </c>
      <c r="D305" s="1">
        <v>0.25850000000000001</v>
      </c>
      <c r="E305" s="1">
        <f>C305/D305</f>
        <v>1.7794970986460348E-2</v>
      </c>
      <c r="F305" s="1" t="str">
        <f>IF(B305&lt;0.7,"True","False")</f>
        <v>False</v>
      </c>
      <c r="G305" s="1" t="b">
        <f>IF(OR(E305&gt;1.5,E305&lt;0.5),TRUE,FALSE)</f>
        <v>1</v>
      </c>
      <c r="H305" s="1" t="b">
        <f>IF(AND(E305&lt;1.5,E305&gt;0.5),TRUE,FALSE)</f>
        <v>0</v>
      </c>
      <c r="I305" t="s">
        <v>450</v>
      </c>
      <c r="J305" t="s">
        <v>763</v>
      </c>
      <c r="K305" t="s">
        <v>468</v>
      </c>
      <c r="L305" s="1"/>
      <c r="M305" s="1"/>
    </row>
    <row r="306" spans="1:13" x14ac:dyDescent="0.2">
      <c r="A306" s="1" t="s">
        <v>308</v>
      </c>
      <c r="B306" s="1">
        <v>0.29389999999999999</v>
      </c>
      <c r="C306" s="1">
        <v>0.01</v>
      </c>
      <c r="D306" s="1">
        <v>0.69610000000000005</v>
      </c>
      <c r="E306" s="1">
        <f>C306/D306</f>
        <v>1.4365752047119667E-2</v>
      </c>
      <c r="F306" s="1" t="str">
        <f>IF(B306&lt;0.7,"True","False")</f>
        <v>True</v>
      </c>
      <c r="G306" s="1" t="b">
        <f>IF(OR(E306&gt;1.5,E306&lt;0.5),TRUE,FALSE)</f>
        <v>1</v>
      </c>
      <c r="H306" s="1" t="b">
        <f>IF(AND(E306&lt;1.5,E306&gt;0.5),TRUE,FALSE)</f>
        <v>0</v>
      </c>
      <c r="I306" t="s">
        <v>450</v>
      </c>
      <c r="J306" t="s">
        <v>764</v>
      </c>
      <c r="K306" t="s">
        <v>468</v>
      </c>
      <c r="L306" s="1"/>
      <c r="M306" s="1"/>
    </row>
    <row r="307" spans="1:13" x14ac:dyDescent="0.2">
      <c r="A307" s="1" t="s">
        <v>309</v>
      </c>
      <c r="B307" s="1">
        <v>0.61439999999999995</v>
      </c>
      <c r="C307" s="1">
        <v>6.1000000000000004E-3</v>
      </c>
      <c r="D307" s="1">
        <v>0.3795</v>
      </c>
      <c r="E307" s="1">
        <f>C307/D307</f>
        <v>1.6073781291172595E-2</v>
      </c>
      <c r="F307" s="1" t="str">
        <f>IF(B307&lt;0.7,"True","False")</f>
        <v>True</v>
      </c>
      <c r="G307" s="1" t="b">
        <f>IF(OR(E307&gt;1.5,E307&lt;0.5),TRUE,FALSE)</f>
        <v>1</v>
      </c>
      <c r="H307" s="1" t="b">
        <f>IF(AND(E307&lt;1.5,E307&gt;0.5),TRUE,FALSE)</f>
        <v>0</v>
      </c>
      <c r="I307" t="s">
        <v>450</v>
      </c>
      <c r="J307" t="s">
        <v>765</v>
      </c>
      <c r="K307" t="s">
        <v>468</v>
      </c>
      <c r="L307" s="1"/>
      <c r="M307" s="1"/>
    </row>
    <row r="308" spans="1:13" x14ac:dyDescent="0.2">
      <c r="A308" s="1" t="s">
        <v>310</v>
      </c>
      <c r="B308" s="1">
        <v>0.73529999999999995</v>
      </c>
      <c r="C308" s="1">
        <v>5.4000000000000003E-3</v>
      </c>
      <c r="D308" s="1">
        <v>0.25929999999999997</v>
      </c>
      <c r="E308" s="1">
        <f>C308/D308</f>
        <v>2.0825298881604323E-2</v>
      </c>
      <c r="F308" s="1" t="str">
        <f>IF(B308&lt;0.7,"True","False")</f>
        <v>False</v>
      </c>
      <c r="G308" s="1" t="b">
        <f>IF(OR(E308&gt;1.5,E308&lt;0.5),TRUE,FALSE)</f>
        <v>1</v>
      </c>
      <c r="H308" s="1" t="b">
        <f>IF(AND(E308&lt;1.5,E308&gt;0.5),TRUE,FALSE)</f>
        <v>0</v>
      </c>
      <c r="I308" t="s">
        <v>450</v>
      </c>
      <c r="J308" t="s">
        <v>766</v>
      </c>
      <c r="K308" t="s">
        <v>468</v>
      </c>
      <c r="L308" s="1"/>
      <c r="M308" s="1"/>
    </row>
    <row r="309" spans="1:13" x14ac:dyDescent="0.2">
      <c r="A309" s="1" t="s">
        <v>311</v>
      </c>
      <c r="B309" s="1">
        <v>0.91300000000000003</v>
      </c>
      <c r="C309" s="1">
        <v>2.2000000000000001E-3</v>
      </c>
      <c r="D309" s="1">
        <v>8.4699999999999998E-2</v>
      </c>
      <c r="E309" s="1">
        <f>C309/D309</f>
        <v>2.5974025974025976E-2</v>
      </c>
      <c r="F309" s="1" t="str">
        <f>IF(B309&lt;0.7,"True","False")</f>
        <v>False</v>
      </c>
      <c r="G309" s="1" t="b">
        <f>IF(OR(E309&gt;1.5,E309&lt;0.5),TRUE,FALSE)</f>
        <v>1</v>
      </c>
      <c r="H309" s="1" t="b">
        <f>IF(AND(E309&lt;1.5,E309&gt;0.5),TRUE,FALSE)</f>
        <v>0</v>
      </c>
      <c r="I309" t="s">
        <v>450</v>
      </c>
      <c r="J309" t="s">
        <v>767</v>
      </c>
      <c r="K309" t="s">
        <v>468</v>
      </c>
      <c r="L309" s="1"/>
      <c r="M309" s="1"/>
    </row>
    <row r="310" spans="1:13" x14ac:dyDescent="0.2">
      <c r="A310" s="1" t="s">
        <v>312</v>
      </c>
      <c r="B310" s="1">
        <v>0.28620000000000001</v>
      </c>
      <c r="C310" s="1">
        <v>8.6999999999999994E-3</v>
      </c>
      <c r="D310" s="1">
        <v>0.70509999999999995</v>
      </c>
      <c r="E310" s="1">
        <f>C310/D310</f>
        <v>1.2338675365196426E-2</v>
      </c>
      <c r="F310" s="1" t="str">
        <f>IF(B310&lt;0.7,"True","False")</f>
        <v>True</v>
      </c>
      <c r="G310" s="1" t="b">
        <f>IF(OR(E310&gt;1.5,E310&lt;0.5),TRUE,FALSE)</f>
        <v>1</v>
      </c>
      <c r="H310" s="1" t="b">
        <f>IF(AND(E310&lt;1.5,E310&gt;0.5),TRUE,FALSE)</f>
        <v>0</v>
      </c>
      <c r="I310" t="s">
        <v>450</v>
      </c>
      <c r="J310" t="s">
        <v>768</v>
      </c>
      <c r="K310" t="s">
        <v>468</v>
      </c>
      <c r="L310" s="1"/>
      <c r="M310" s="1"/>
    </row>
    <row r="311" spans="1:13" x14ac:dyDescent="0.2">
      <c r="A311" s="1" t="s">
        <v>313</v>
      </c>
      <c r="B311" s="1">
        <v>0.4219</v>
      </c>
      <c r="C311" s="1">
        <v>1.0800000000000001E-2</v>
      </c>
      <c r="D311" s="1">
        <v>0.56720000000000004</v>
      </c>
      <c r="E311" s="1">
        <f>C311/D311</f>
        <v>1.9040902679830746E-2</v>
      </c>
      <c r="F311" s="1" t="str">
        <f>IF(B311&lt;0.7,"True","False")</f>
        <v>True</v>
      </c>
      <c r="G311" s="1" t="b">
        <f>IF(OR(E311&gt;1.5,E311&lt;0.5),TRUE,FALSE)</f>
        <v>1</v>
      </c>
      <c r="H311" s="1" t="b">
        <f>IF(AND(E311&lt;1.5,E311&gt;0.5),TRUE,FALSE)</f>
        <v>0</v>
      </c>
      <c r="I311" t="s">
        <v>450</v>
      </c>
      <c r="J311" t="s">
        <v>769</v>
      </c>
      <c r="K311" t="s">
        <v>468</v>
      </c>
      <c r="L311" s="1"/>
      <c r="M311" s="1"/>
    </row>
    <row r="312" spans="1:13" x14ac:dyDescent="0.2">
      <c r="A312" s="1" t="s">
        <v>314</v>
      </c>
      <c r="B312" s="1">
        <v>0.4798</v>
      </c>
      <c r="C312" s="1">
        <v>0.26140000000000002</v>
      </c>
      <c r="D312" s="1">
        <v>0.25869999999999999</v>
      </c>
      <c r="E312" s="1">
        <f>C312/D312</f>
        <v>1.0104367993815231</v>
      </c>
      <c r="F312" s="1" t="str">
        <f>IF(B312&lt;0.7,"True","False")</f>
        <v>True</v>
      </c>
      <c r="G312" s="1" t="b">
        <f>IF(OR(E312&gt;1.5,E312&lt;0.5),TRUE,FALSE)</f>
        <v>0</v>
      </c>
      <c r="H312" s="1" t="b">
        <f>IF(AND(E312&lt;1.5,E312&gt;0.5),TRUE,FALSE)</f>
        <v>1</v>
      </c>
      <c r="I312" t="s">
        <v>449</v>
      </c>
      <c r="J312" t="s">
        <v>770</v>
      </c>
      <c r="K312" t="s">
        <v>459</v>
      </c>
      <c r="L312" s="1"/>
      <c r="M312" s="1"/>
    </row>
    <row r="313" spans="1:13" x14ac:dyDescent="0.2">
      <c r="A313" s="1" t="s">
        <v>315</v>
      </c>
      <c r="B313" s="1">
        <v>0.77649999999999997</v>
      </c>
      <c r="C313" s="1">
        <v>0.1135</v>
      </c>
      <c r="D313" s="1">
        <v>0.11</v>
      </c>
      <c r="E313" s="1">
        <f>C313/D313</f>
        <v>1.0318181818181817</v>
      </c>
      <c r="F313" s="1" t="str">
        <f>IF(B313&lt;0.7,"True","False")</f>
        <v>False</v>
      </c>
      <c r="G313" s="1" t="b">
        <f>IF(OR(E313&gt;1.5,E313&lt;0.5),TRUE,FALSE)</f>
        <v>0</v>
      </c>
      <c r="H313" s="1" t="b">
        <f>IF(AND(E313&lt;1.5,E313&gt;0.5),TRUE,FALSE)</f>
        <v>1</v>
      </c>
      <c r="I313" t="s">
        <v>449</v>
      </c>
      <c r="J313" t="s">
        <v>771</v>
      </c>
      <c r="K313" t="s">
        <v>459</v>
      </c>
      <c r="L313" s="1"/>
      <c r="M313" s="1"/>
    </row>
    <row r="314" spans="1:13" x14ac:dyDescent="0.2">
      <c r="A314" s="1" t="s">
        <v>316</v>
      </c>
      <c r="B314" s="1">
        <v>0.25080000000000002</v>
      </c>
      <c r="C314" s="1">
        <v>1.4200000000000001E-2</v>
      </c>
      <c r="D314" s="1">
        <v>0.73499999999999999</v>
      </c>
      <c r="E314" s="1">
        <f>C314/D314</f>
        <v>1.9319727891156463E-2</v>
      </c>
      <c r="F314" s="1" t="str">
        <f>IF(B314&lt;0.7,"True","False")</f>
        <v>True</v>
      </c>
      <c r="G314" s="1" t="b">
        <f>IF(OR(E314&gt;1.5,E314&lt;0.5),TRUE,FALSE)</f>
        <v>1</v>
      </c>
      <c r="H314" s="1" t="b">
        <f>IF(AND(E314&lt;1.5,E314&gt;0.5),TRUE,FALSE)</f>
        <v>0</v>
      </c>
      <c r="I314" t="s">
        <v>450</v>
      </c>
      <c r="J314" t="s">
        <v>772</v>
      </c>
      <c r="K314" t="s">
        <v>468</v>
      </c>
      <c r="L314" s="1"/>
      <c r="M314" s="1"/>
    </row>
    <row r="315" spans="1:13" x14ac:dyDescent="0.2">
      <c r="A315" s="1" t="s">
        <v>317</v>
      </c>
      <c r="B315" s="1">
        <v>0.63009999999999999</v>
      </c>
      <c r="C315" s="1">
        <v>6.4000000000000003E-3</v>
      </c>
      <c r="D315" s="1">
        <v>0.36349999999999999</v>
      </c>
      <c r="E315" s="1">
        <f>C315/D315</f>
        <v>1.7606602475928476E-2</v>
      </c>
      <c r="F315" s="1" t="str">
        <f>IF(B315&lt;0.7,"True","False")</f>
        <v>True</v>
      </c>
      <c r="G315" s="1" t="b">
        <f>IF(OR(E315&gt;1.5,E315&lt;0.5),TRUE,FALSE)</f>
        <v>1</v>
      </c>
      <c r="H315" s="1" t="b">
        <f>IF(AND(E315&lt;1.5,E315&gt;0.5),TRUE,FALSE)</f>
        <v>0</v>
      </c>
      <c r="I315" t="s">
        <v>450</v>
      </c>
      <c r="J315" t="s">
        <v>773</v>
      </c>
      <c r="K315" t="s">
        <v>468</v>
      </c>
      <c r="L315" s="1"/>
      <c r="M315" s="1"/>
    </row>
    <row r="316" spans="1:13" x14ac:dyDescent="0.2">
      <c r="A316" s="1" t="s">
        <v>318</v>
      </c>
      <c r="B316" s="1">
        <v>0.60450000000000004</v>
      </c>
      <c r="C316" s="1">
        <v>1.1900000000000001E-2</v>
      </c>
      <c r="D316" s="1">
        <v>0.3836</v>
      </c>
      <c r="E316" s="1">
        <f>C316/D316</f>
        <v>3.1021897810218982E-2</v>
      </c>
      <c r="F316" s="1" t="str">
        <f>IF(B316&lt;0.7,"True","False")</f>
        <v>True</v>
      </c>
      <c r="G316" s="1" t="b">
        <f>IF(OR(E316&gt;1.5,E316&lt;0.5),TRUE,FALSE)</f>
        <v>1</v>
      </c>
      <c r="H316" s="1" t="b">
        <f>IF(AND(E316&lt;1.5,E316&gt;0.5),TRUE,FALSE)</f>
        <v>0</v>
      </c>
      <c r="I316" t="s">
        <v>450</v>
      </c>
      <c r="J316" t="s">
        <v>774</v>
      </c>
      <c r="K316" t="s">
        <v>468</v>
      </c>
      <c r="L316" s="1"/>
      <c r="M316" s="1"/>
    </row>
    <row r="317" spans="1:13" x14ac:dyDescent="0.2">
      <c r="A317" s="1" t="s">
        <v>319</v>
      </c>
      <c r="B317" s="1">
        <v>0.99380000000000002</v>
      </c>
      <c r="C317" s="1">
        <v>1.8E-3</v>
      </c>
      <c r="D317" s="1">
        <v>4.4000000000000003E-3</v>
      </c>
      <c r="E317" s="1">
        <f>C317/D317</f>
        <v>0.40909090909090906</v>
      </c>
      <c r="F317" s="1" t="str">
        <f>IF(B317&lt;0.7,"True","False")</f>
        <v>False</v>
      </c>
      <c r="G317" s="1" t="b">
        <f>IF(OR(E317&gt;1.5,E317&lt;0.5),TRUE,FALSE)</f>
        <v>1</v>
      </c>
      <c r="H317" s="1" t="b">
        <f>IF(AND(E317&lt;1.5,E317&gt;0.5),TRUE,FALSE)</f>
        <v>0</v>
      </c>
      <c r="I317" t="s">
        <v>450</v>
      </c>
      <c r="J317" t="s">
        <v>775</v>
      </c>
      <c r="K317" t="s">
        <v>468</v>
      </c>
      <c r="L317" s="1"/>
      <c r="M317" s="1"/>
    </row>
    <row r="318" spans="1:13" x14ac:dyDescent="0.2">
      <c r="A318" s="1" t="s">
        <v>320</v>
      </c>
      <c r="B318" s="1">
        <v>0.66169999999999995</v>
      </c>
      <c r="C318" s="1">
        <v>9.7000000000000003E-3</v>
      </c>
      <c r="D318" s="1">
        <v>0.3286</v>
      </c>
      <c r="E318" s="1">
        <f>C318/D318</f>
        <v>2.9519172245891661E-2</v>
      </c>
      <c r="F318" s="1" t="str">
        <f>IF(B318&lt;0.7,"True","False")</f>
        <v>True</v>
      </c>
      <c r="G318" s="1" t="b">
        <f>IF(OR(E318&gt;1.5,E318&lt;0.5),TRUE,FALSE)</f>
        <v>1</v>
      </c>
      <c r="H318" s="1" t="b">
        <f>IF(AND(E318&lt;1.5,E318&gt;0.5),TRUE,FALSE)</f>
        <v>0</v>
      </c>
      <c r="I318" t="s">
        <v>450</v>
      </c>
      <c r="J318" t="s">
        <v>776</v>
      </c>
      <c r="K318" t="s">
        <v>468</v>
      </c>
      <c r="L318" s="1"/>
      <c r="M318" s="1"/>
    </row>
    <row r="319" spans="1:13" x14ac:dyDescent="0.2">
      <c r="A319" s="1" t="s">
        <v>321</v>
      </c>
      <c r="B319" s="1">
        <v>0.51600000000000001</v>
      </c>
      <c r="C319" s="1">
        <v>9.4999999999999998E-3</v>
      </c>
      <c r="D319" s="1">
        <v>0.47449999999999998</v>
      </c>
      <c r="E319" s="1">
        <f>C319/D319</f>
        <v>2.0021074815595365E-2</v>
      </c>
      <c r="F319" s="1" t="str">
        <f>IF(B319&lt;0.7,"True","False")</f>
        <v>True</v>
      </c>
      <c r="G319" s="1" t="b">
        <f>IF(OR(E319&gt;1.5,E319&lt;0.5),TRUE,FALSE)</f>
        <v>1</v>
      </c>
      <c r="H319" s="1" t="b">
        <f>IF(AND(E319&lt;1.5,E319&gt;0.5),TRUE,FALSE)</f>
        <v>0</v>
      </c>
      <c r="I319" t="s">
        <v>450</v>
      </c>
      <c r="J319" t="s">
        <v>777</v>
      </c>
      <c r="K319" t="s">
        <v>468</v>
      </c>
      <c r="L319" s="1"/>
      <c r="M319" s="1"/>
    </row>
    <row r="320" spans="1:13" x14ac:dyDescent="0.2">
      <c r="A320" s="1" t="s">
        <v>322</v>
      </c>
      <c r="B320" s="1">
        <v>0.53549999999999998</v>
      </c>
      <c r="C320" s="1">
        <v>0.2344</v>
      </c>
      <c r="D320" s="1">
        <v>0.2301</v>
      </c>
      <c r="E320" s="1">
        <f>C320/D320</f>
        <v>1.0186875271621034</v>
      </c>
      <c r="F320" s="1" t="str">
        <f>IF(B320&lt;0.7,"True","False")</f>
        <v>True</v>
      </c>
      <c r="G320" s="1" t="b">
        <f>IF(OR(E320&gt;1.5,E320&lt;0.5),TRUE,FALSE)</f>
        <v>0</v>
      </c>
      <c r="H320" s="1" t="b">
        <f>IF(AND(E320&lt;1.5,E320&gt;0.5),TRUE,FALSE)</f>
        <v>1</v>
      </c>
      <c r="I320" t="s">
        <v>449</v>
      </c>
      <c r="J320" t="s">
        <v>778</v>
      </c>
      <c r="K320" t="s">
        <v>459</v>
      </c>
      <c r="L320" s="1"/>
      <c r="M320" s="1"/>
    </row>
    <row r="321" spans="1:13" x14ac:dyDescent="0.2">
      <c r="A321" s="1" t="s">
        <v>323</v>
      </c>
      <c r="B321" s="1">
        <v>0.60209999999999997</v>
      </c>
      <c r="C321" s="1">
        <v>0.2</v>
      </c>
      <c r="D321" s="1">
        <v>0.19789999999999999</v>
      </c>
      <c r="E321" s="1">
        <f>C321/D321</f>
        <v>1.010611419909045</v>
      </c>
      <c r="F321" s="1" t="str">
        <f>IF(B321&lt;0.7,"True","False")</f>
        <v>True</v>
      </c>
      <c r="G321" s="1" t="b">
        <f>IF(OR(E321&gt;1.5,E321&lt;0.5),TRUE,FALSE)</f>
        <v>0</v>
      </c>
      <c r="H321" s="1" t="b">
        <f>IF(AND(E321&lt;1.5,E321&gt;0.5),TRUE,FALSE)</f>
        <v>1</v>
      </c>
      <c r="I321" t="s">
        <v>449</v>
      </c>
      <c r="J321" t="s">
        <v>779</v>
      </c>
      <c r="K321" t="s">
        <v>459</v>
      </c>
      <c r="L321" s="1"/>
      <c r="M321" s="1"/>
    </row>
    <row r="322" spans="1:13" x14ac:dyDescent="0.2">
      <c r="A322" s="1" t="s">
        <v>324</v>
      </c>
      <c r="B322" s="1">
        <v>0.6573</v>
      </c>
      <c r="C322" s="1">
        <v>6.7999999999999996E-3</v>
      </c>
      <c r="D322" s="1">
        <v>0.33589999999999998</v>
      </c>
      <c r="E322" s="1">
        <f>C322/D322</f>
        <v>2.0244120273891039E-2</v>
      </c>
      <c r="F322" s="1" t="str">
        <f>IF(B322&lt;0.7,"True","False")</f>
        <v>True</v>
      </c>
      <c r="G322" s="1" t="b">
        <f>IF(OR(E322&gt;1.5,E322&lt;0.5),TRUE,FALSE)</f>
        <v>1</v>
      </c>
      <c r="H322" s="1" t="b">
        <f>IF(AND(E322&lt;1.5,E322&gt;0.5),TRUE,FALSE)</f>
        <v>0</v>
      </c>
      <c r="I322" t="s">
        <v>450</v>
      </c>
      <c r="J322" t="s">
        <v>780</v>
      </c>
      <c r="K322" t="s">
        <v>468</v>
      </c>
      <c r="L322" s="1"/>
      <c r="M322" s="1"/>
    </row>
    <row r="323" spans="1:13" x14ac:dyDescent="0.2">
      <c r="A323" s="1" t="s">
        <v>325</v>
      </c>
      <c r="B323" s="1">
        <v>0.99460000000000004</v>
      </c>
      <c r="C323" s="1">
        <v>8.9999999999999998E-4</v>
      </c>
      <c r="D323" s="1">
        <v>4.4999999999999997E-3</v>
      </c>
      <c r="E323" s="1">
        <f>C323/D323</f>
        <v>0.2</v>
      </c>
      <c r="F323" s="1" t="str">
        <f>IF(B323&lt;0.7,"True","False")</f>
        <v>False</v>
      </c>
      <c r="G323" s="1" t="b">
        <f>IF(OR(E323&gt;1.5,E323&lt;0.5),TRUE,FALSE)</f>
        <v>1</v>
      </c>
      <c r="H323" s="1" t="b">
        <f>IF(AND(E323&lt;1.5,E323&gt;0.5),TRUE,FALSE)</f>
        <v>0</v>
      </c>
      <c r="I323" t="s">
        <v>450</v>
      </c>
      <c r="J323" t="s">
        <v>781</v>
      </c>
      <c r="K323" t="s">
        <v>468</v>
      </c>
      <c r="L323" s="1"/>
      <c r="M323" s="1"/>
    </row>
    <row r="324" spans="1:13" x14ac:dyDescent="0.2">
      <c r="A324" s="1" t="s">
        <v>326</v>
      </c>
      <c r="B324" s="1">
        <v>0.27760000000000001</v>
      </c>
      <c r="C324" s="1">
        <v>5.4999999999999997E-3</v>
      </c>
      <c r="D324" s="1">
        <v>0.71689999999999998</v>
      </c>
      <c r="E324" s="1">
        <f>C324/D324</f>
        <v>7.6719207699818661E-3</v>
      </c>
      <c r="F324" s="1" t="str">
        <f>IF(B324&lt;0.7,"True","False")</f>
        <v>True</v>
      </c>
      <c r="G324" s="1" t="b">
        <f>IF(OR(E324&gt;1.5,E324&lt;0.5),TRUE,FALSE)</f>
        <v>1</v>
      </c>
      <c r="H324" s="1" t="b">
        <f>IF(AND(E324&lt;1.5,E324&gt;0.5),TRUE,FALSE)</f>
        <v>0</v>
      </c>
      <c r="I324" t="s">
        <v>450</v>
      </c>
      <c r="J324" t="s">
        <v>782</v>
      </c>
      <c r="K324" t="s">
        <v>468</v>
      </c>
      <c r="L324" s="1"/>
      <c r="M324" s="1"/>
    </row>
    <row r="325" spans="1:13" x14ac:dyDescent="0.2">
      <c r="A325" s="1" t="s">
        <v>327</v>
      </c>
      <c r="B325" s="1">
        <v>0.7752</v>
      </c>
      <c r="C325" s="1">
        <v>4.1999999999999997E-3</v>
      </c>
      <c r="D325" s="1">
        <v>0.22059999999999999</v>
      </c>
      <c r="E325" s="1">
        <f>C325/D325</f>
        <v>1.9038984587488667E-2</v>
      </c>
      <c r="F325" s="1" t="str">
        <f>IF(B325&lt;0.7,"True","False")</f>
        <v>False</v>
      </c>
      <c r="G325" s="1" t="b">
        <f>IF(OR(E325&gt;1.5,E325&lt;0.5),TRUE,FALSE)</f>
        <v>1</v>
      </c>
      <c r="H325" s="1" t="b">
        <f>IF(AND(E325&lt;1.5,E325&gt;0.5),TRUE,FALSE)</f>
        <v>0</v>
      </c>
      <c r="I325" t="s">
        <v>450</v>
      </c>
      <c r="J325" t="s">
        <v>783</v>
      </c>
      <c r="K325" t="s">
        <v>468</v>
      </c>
      <c r="L325" s="1"/>
      <c r="M325" s="1"/>
    </row>
    <row r="326" spans="1:13" x14ac:dyDescent="0.2">
      <c r="A326" s="1" t="s">
        <v>328</v>
      </c>
      <c r="B326" s="1">
        <v>0.33779999999999999</v>
      </c>
      <c r="C326" s="1">
        <v>0.33479999999999999</v>
      </c>
      <c r="D326" s="1">
        <v>0.32740000000000002</v>
      </c>
      <c r="E326" s="1">
        <f>C326/D326</f>
        <v>1.0226023213194868</v>
      </c>
      <c r="F326" s="1" t="str">
        <f>IF(B326&lt;0.7,"True","False")</f>
        <v>True</v>
      </c>
      <c r="G326" s="1" t="b">
        <f>IF(OR(E326&gt;1.5,E326&lt;0.5),TRUE,FALSE)</f>
        <v>0</v>
      </c>
      <c r="H326" s="1" t="b">
        <f>IF(AND(E326&lt;1.5,E326&gt;0.5),TRUE,FALSE)</f>
        <v>1</v>
      </c>
      <c r="I326" t="s">
        <v>449</v>
      </c>
      <c r="J326" t="s">
        <v>784</v>
      </c>
      <c r="K326" t="s">
        <v>459</v>
      </c>
      <c r="L326" s="1"/>
      <c r="M326" s="1"/>
    </row>
    <row r="327" spans="1:13" x14ac:dyDescent="0.2">
      <c r="A327" s="1" t="s">
        <v>329</v>
      </c>
      <c r="B327" s="1">
        <v>0.29599999999999999</v>
      </c>
      <c r="C327" s="1">
        <v>0.3579</v>
      </c>
      <c r="D327" s="1">
        <v>0.34610000000000002</v>
      </c>
      <c r="E327" s="1">
        <f>C327/D327</f>
        <v>1.0340941924299334</v>
      </c>
      <c r="F327" s="1" t="str">
        <f>IF(B327&lt;0.7,"True","False")</f>
        <v>True</v>
      </c>
      <c r="G327" s="1" t="b">
        <f>IF(OR(E327&gt;1.5,E327&lt;0.5),TRUE,FALSE)</f>
        <v>0</v>
      </c>
      <c r="H327" s="1" t="b">
        <f>IF(AND(E327&lt;1.5,E327&gt;0.5),TRUE,FALSE)</f>
        <v>1</v>
      </c>
      <c r="I327" t="s">
        <v>449</v>
      </c>
      <c r="J327" t="s">
        <v>785</v>
      </c>
      <c r="K327" t="s">
        <v>459</v>
      </c>
      <c r="L327" s="1"/>
      <c r="M327" s="1"/>
    </row>
    <row r="328" spans="1:13" x14ac:dyDescent="0.2">
      <c r="A328" s="1" t="s">
        <v>330</v>
      </c>
      <c r="B328" s="1">
        <v>0.52990000000000004</v>
      </c>
      <c r="C328" s="1">
        <v>0.2384</v>
      </c>
      <c r="D328" s="1">
        <v>0.23169999999999999</v>
      </c>
      <c r="E328" s="1">
        <f>C328/D328</f>
        <v>1.0289167026327148</v>
      </c>
      <c r="F328" s="1" t="str">
        <f>IF(B328&lt;0.7,"True","False")</f>
        <v>True</v>
      </c>
      <c r="G328" s="1" t="b">
        <f>IF(OR(E328&gt;1.5,E328&lt;0.5),TRUE,FALSE)</f>
        <v>0</v>
      </c>
      <c r="H328" s="1" t="b">
        <f>IF(AND(E328&lt;1.5,E328&gt;0.5),TRUE,FALSE)</f>
        <v>1</v>
      </c>
      <c r="I328" t="s">
        <v>449</v>
      </c>
      <c r="J328" t="s">
        <v>786</v>
      </c>
      <c r="K328" t="s">
        <v>459</v>
      </c>
      <c r="L328" s="1"/>
      <c r="M328" s="1"/>
    </row>
    <row r="329" spans="1:13" x14ac:dyDescent="0.2">
      <c r="A329" s="1" t="s">
        <v>331</v>
      </c>
      <c r="B329" s="1">
        <v>0.3352</v>
      </c>
      <c r="C329" s="1">
        <v>7.7000000000000002E-3</v>
      </c>
      <c r="D329" s="1">
        <v>0.65710000000000002</v>
      </c>
      <c r="E329" s="1">
        <f>C329/D329</f>
        <v>1.1718155531882515E-2</v>
      </c>
      <c r="F329" s="1" t="str">
        <f>IF(B329&lt;0.7,"True","False")</f>
        <v>True</v>
      </c>
      <c r="G329" s="1" t="b">
        <f>IF(OR(E329&gt;1.5,E329&lt;0.5),TRUE,FALSE)</f>
        <v>1</v>
      </c>
      <c r="H329" s="1" t="b">
        <f>IF(AND(E329&lt;1.5,E329&gt;0.5),TRUE,FALSE)</f>
        <v>0</v>
      </c>
      <c r="I329" t="s">
        <v>450</v>
      </c>
      <c r="J329" t="s">
        <v>787</v>
      </c>
      <c r="K329" t="s">
        <v>468</v>
      </c>
      <c r="L329" s="1"/>
      <c r="M329" s="1"/>
    </row>
    <row r="330" spans="1:13" x14ac:dyDescent="0.2">
      <c r="A330" s="1" t="s">
        <v>332</v>
      </c>
      <c r="B330" s="1">
        <v>0.64739999999999998</v>
      </c>
      <c r="C330" s="1">
        <v>6.8999999999999999E-3</v>
      </c>
      <c r="D330" s="1">
        <v>0.34570000000000001</v>
      </c>
      <c r="E330" s="1">
        <f>C330/D330</f>
        <v>1.9959502458779289E-2</v>
      </c>
      <c r="F330" s="1" t="str">
        <f>IF(B330&lt;0.7,"True","False")</f>
        <v>True</v>
      </c>
      <c r="G330" s="1" t="b">
        <f>IF(OR(E330&gt;1.5,E330&lt;0.5),TRUE,FALSE)</f>
        <v>1</v>
      </c>
      <c r="H330" s="1" t="b">
        <f>IF(AND(E330&lt;1.5,E330&gt;0.5),TRUE,FALSE)</f>
        <v>0</v>
      </c>
      <c r="I330" t="s">
        <v>450</v>
      </c>
      <c r="J330" t="s">
        <v>788</v>
      </c>
      <c r="K330" t="s">
        <v>468</v>
      </c>
      <c r="L330" s="1"/>
      <c r="M330" s="1"/>
    </row>
    <row r="331" spans="1:13" x14ac:dyDescent="0.2">
      <c r="A331" s="1" t="s">
        <v>333</v>
      </c>
      <c r="B331" s="1">
        <v>0.73580000000000001</v>
      </c>
      <c r="C331" s="1">
        <v>7.0000000000000001E-3</v>
      </c>
      <c r="D331" s="1">
        <v>0.25719999999999998</v>
      </c>
      <c r="E331" s="1">
        <f>C331/D331</f>
        <v>2.7216174183514776E-2</v>
      </c>
      <c r="F331" s="1" t="str">
        <f>IF(B331&lt;0.7,"True","False")</f>
        <v>False</v>
      </c>
      <c r="G331" s="1" t="b">
        <f>IF(OR(E331&gt;1.5,E331&lt;0.5),TRUE,FALSE)</f>
        <v>1</v>
      </c>
      <c r="H331" s="1" t="b">
        <f>IF(AND(E331&lt;1.5,E331&gt;0.5),TRUE,FALSE)</f>
        <v>0</v>
      </c>
      <c r="I331" t="s">
        <v>450</v>
      </c>
      <c r="J331" t="s">
        <v>789</v>
      </c>
      <c r="K331" t="s">
        <v>468</v>
      </c>
      <c r="L331" s="1"/>
      <c r="M331" s="1"/>
    </row>
    <row r="332" spans="1:13" x14ac:dyDescent="0.2">
      <c r="A332" s="1" t="s">
        <v>334</v>
      </c>
      <c r="B332" s="1">
        <v>0.40479999999999999</v>
      </c>
      <c r="C332" s="1">
        <v>5.7000000000000002E-3</v>
      </c>
      <c r="D332" s="1">
        <v>0.58950000000000002</v>
      </c>
      <c r="E332" s="1">
        <f>C332/D332</f>
        <v>9.6692111959287529E-3</v>
      </c>
      <c r="F332" s="1" t="str">
        <f>IF(B332&lt;0.7,"True","False")</f>
        <v>True</v>
      </c>
      <c r="G332" s="1" t="b">
        <f>IF(OR(E332&gt;1.5,E332&lt;0.5),TRUE,FALSE)</f>
        <v>1</v>
      </c>
      <c r="H332" s="1" t="b">
        <f>IF(AND(E332&lt;1.5,E332&gt;0.5),TRUE,FALSE)</f>
        <v>0</v>
      </c>
      <c r="I332" t="s">
        <v>450</v>
      </c>
      <c r="J332" t="s">
        <v>790</v>
      </c>
      <c r="K332" t="s">
        <v>468</v>
      </c>
      <c r="L332" s="1"/>
      <c r="M332" s="1"/>
    </row>
    <row r="333" spans="1:13" x14ac:dyDescent="0.2">
      <c r="A333" s="1" t="s">
        <v>335</v>
      </c>
      <c r="B333" s="1">
        <v>0.87539999999999996</v>
      </c>
      <c r="C333" s="1">
        <v>2.5000000000000001E-3</v>
      </c>
      <c r="D333" s="1">
        <v>0.1221</v>
      </c>
      <c r="E333" s="1">
        <f>C333/D333</f>
        <v>2.0475020475020474E-2</v>
      </c>
      <c r="F333" s="1" t="str">
        <f>IF(B333&lt;0.7,"True","False")</f>
        <v>False</v>
      </c>
      <c r="G333" s="1" t="b">
        <f>IF(OR(E333&gt;1.5,E333&lt;0.5),TRUE,FALSE)</f>
        <v>1</v>
      </c>
      <c r="H333" s="1" t="b">
        <f>IF(AND(E333&lt;1.5,E333&gt;0.5),TRUE,FALSE)</f>
        <v>0</v>
      </c>
      <c r="I333" t="s">
        <v>450</v>
      </c>
      <c r="J333" t="s">
        <v>791</v>
      </c>
      <c r="K333" t="s">
        <v>468</v>
      </c>
      <c r="L333" s="1"/>
      <c r="M333" s="1"/>
    </row>
    <row r="334" spans="1:13" x14ac:dyDescent="0.2">
      <c r="A334" s="1" t="s">
        <v>336</v>
      </c>
      <c r="B334" s="1">
        <v>0.19289999999999999</v>
      </c>
      <c r="C334" s="1">
        <v>1.01E-2</v>
      </c>
      <c r="D334" s="1">
        <v>0.79710000000000003</v>
      </c>
      <c r="E334" s="1">
        <f>C334/D334</f>
        <v>1.2670932128967506E-2</v>
      </c>
      <c r="F334" s="1" t="str">
        <f>IF(B334&lt;0.7,"True","False")</f>
        <v>True</v>
      </c>
      <c r="G334" s="1" t="b">
        <f>IF(OR(E334&gt;1.5,E334&lt;0.5),TRUE,FALSE)</f>
        <v>1</v>
      </c>
      <c r="H334" s="1" t="b">
        <f>IF(AND(E334&lt;1.5,E334&gt;0.5),TRUE,FALSE)</f>
        <v>0</v>
      </c>
      <c r="I334" t="s">
        <v>450</v>
      </c>
      <c r="J334" t="s">
        <v>792</v>
      </c>
      <c r="K334" t="s">
        <v>468</v>
      </c>
      <c r="L334" s="1"/>
      <c r="M334" s="1"/>
    </row>
    <row r="335" spans="1:13" x14ac:dyDescent="0.2">
      <c r="A335" s="1" t="s">
        <v>337</v>
      </c>
      <c r="B335" s="1">
        <v>0.75529999999999997</v>
      </c>
      <c r="C335" s="1">
        <v>6.0000000000000001E-3</v>
      </c>
      <c r="D335" s="1">
        <v>0.2387</v>
      </c>
      <c r="E335" s="1">
        <f>C335/D335</f>
        <v>2.5136154168412233E-2</v>
      </c>
      <c r="F335" s="1" t="str">
        <f>IF(B335&lt;0.7,"True","False")</f>
        <v>False</v>
      </c>
      <c r="G335" s="1" t="b">
        <f>IF(OR(E335&gt;1.5,E335&lt;0.5),TRUE,FALSE)</f>
        <v>1</v>
      </c>
      <c r="H335" s="1" t="b">
        <f>IF(AND(E335&lt;1.5,E335&gt;0.5),TRUE,FALSE)</f>
        <v>0</v>
      </c>
      <c r="I335" t="s">
        <v>450</v>
      </c>
      <c r="J335" t="s">
        <v>793</v>
      </c>
      <c r="K335" t="s">
        <v>468</v>
      </c>
      <c r="L335" s="1"/>
      <c r="M335" s="1"/>
    </row>
    <row r="336" spans="1:13" x14ac:dyDescent="0.2">
      <c r="A336" s="1" t="s">
        <v>338</v>
      </c>
      <c r="B336" s="1">
        <v>0.67859999999999998</v>
      </c>
      <c r="C336" s="1">
        <v>5.3E-3</v>
      </c>
      <c r="D336" s="1">
        <v>0.31609999999999999</v>
      </c>
      <c r="E336" s="1">
        <f>C336/D336</f>
        <v>1.676684593483075E-2</v>
      </c>
      <c r="F336" s="1" t="str">
        <f>IF(B336&lt;0.7,"True","False")</f>
        <v>True</v>
      </c>
      <c r="G336" s="1" t="b">
        <f>IF(OR(E336&gt;1.5,E336&lt;0.5),TRUE,FALSE)</f>
        <v>1</v>
      </c>
      <c r="H336" s="1" t="b">
        <f>IF(AND(E336&lt;1.5,E336&gt;0.5),TRUE,FALSE)</f>
        <v>0</v>
      </c>
      <c r="I336" t="s">
        <v>450</v>
      </c>
      <c r="J336" t="s">
        <v>794</v>
      </c>
      <c r="K336" t="s">
        <v>468</v>
      </c>
      <c r="L336" s="1"/>
      <c r="M336" s="1"/>
    </row>
    <row r="337" spans="1:13" x14ac:dyDescent="0.2">
      <c r="A337" s="1" t="s">
        <v>339</v>
      </c>
      <c r="B337" s="1">
        <v>0.59719999999999995</v>
      </c>
      <c r="C337" s="1">
        <v>4.4999999999999997E-3</v>
      </c>
      <c r="D337" s="1">
        <v>0.3982</v>
      </c>
      <c r="E337" s="1">
        <f>C337/D337</f>
        <v>1.1300853842290305E-2</v>
      </c>
      <c r="F337" s="1" t="str">
        <f>IF(B337&lt;0.7,"True","False")</f>
        <v>True</v>
      </c>
      <c r="G337" s="1" t="b">
        <f>IF(OR(E337&gt;1.5,E337&lt;0.5),TRUE,FALSE)</f>
        <v>1</v>
      </c>
      <c r="H337" s="1" t="b">
        <f>IF(AND(E337&lt;1.5,E337&gt;0.5),TRUE,FALSE)</f>
        <v>0</v>
      </c>
      <c r="I337" t="s">
        <v>450</v>
      </c>
      <c r="J337" t="s">
        <v>795</v>
      </c>
      <c r="K337" t="s">
        <v>468</v>
      </c>
      <c r="L337" s="1"/>
      <c r="M337" s="1"/>
    </row>
    <row r="338" spans="1:13" x14ac:dyDescent="0.2">
      <c r="A338" s="1" t="s">
        <v>340</v>
      </c>
      <c r="B338" s="1">
        <v>0.9304</v>
      </c>
      <c r="C338" s="1">
        <v>4.7999999999999996E-3</v>
      </c>
      <c r="D338" s="1">
        <v>6.4799999999999996E-2</v>
      </c>
      <c r="E338" s="1">
        <f>C338/D338</f>
        <v>7.407407407407407E-2</v>
      </c>
      <c r="F338" s="1" t="str">
        <f>IF(B338&lt;0.7,"True","False")</f>
        <v>False</v>
      </c>
      <c r="G338" s="1" t="b">
        <f>IF(OR(E338&gt;1.5,E338&lt;0.5),TRUE,FALSE)</f>
        <v>1</v>
      </c>
      <c r="H338" s="1" t="b">
        <f>IF(AND(E338&lt;1.5,E338&gt;0.5),TRUE,FALSE)</f>
        <v>0</v>
      </c>
      <c r="I338" t="s">
        <v>450</v>
      </c>
      <c r="J338" t="s">
        <v>796</v>
      </c>
      <c r="K338" t="s">
        <v>468</v>
      </c>
      <c r="L338" s="1"/>
      <c r="M338" s="1"/>
    </row>
    <row r="339" spans="1:13" x14ac:dyDescent="0.2">
      <c r="A339" s="1" t="s">
        <v>341</v>
      </c>
      <c r="B339" s="1">
        <v>0.4138</v>
      </c>
      <c r="C339" s="1">
        <v>1.4200000000000001E-2</v>
      </c>
      <c r="D339" s="1">
        <v>0.57199999999999995</v>
      </c>
      <c r="E339" s="1">
        <f>C339/D339</f>
        <v>2.482517482517483E-2</v>
      </c>
      <c r="F339" s="1" t="str">
        <f>IF(B339&lt;0.7,"True","False")</f>
        <v>True</v>
      </c>
      <c r="G339" s="1" t="b">
        <f>IF(OR(E339&gt;1.5,E339&lt;0.5),TRUE,FALSE)</f>
        <v>1</v>
      </c>
      <c r="H339" s="1" t="b">
        <f>IF(AND(E339&lt;1.5,E339&gt;0.5),TRUE,FALSE)</f>
        <v>0</v>
      </c>
      <c r="I339" t="s">
        <v>450</v>
      </c>
      <c r="J339" t="s">
        <v>797</v>
      </c>
      <c r="K339" t="s">
        <v>468</v>
      </c>
      <c r="L339" s="1"/>
      <c r="M339" s="1"/>
    </row>
    <row r="340" spans="1:13" x14ac:dyDescent="0.2">
      <c r="A340" s="1" t="s">
        <v>342</v>
      </c>
      <c r="B340" s="1">
        <v>0.61240000000000006</v>
      </c>
      <c r="C340" s="1">
        <v>5.4999999999999997E-3</v>
      </c>
      <c r="D340" s="1">
        <v>0.38200000000000001</v>
      </c>
      <c r="E340" s="1">
        <f>C340/D340</f>
        <v>1.4397905759162303E-2</v>
      </c>
      <c r="F340" s="1" t="str">
        <f>IF(B340&lt;0.7,"True","False")</f>
        <v>True</v>
      </c>
      <c r="G340" s="1" t="b">
        <f>IF(OR(E340&gt;1.5,E340&lt;0.5),TRUE,FALSE)</f>
        <v>1</v>
      </c>
      <c r="H340" s="1" t="b">
        <f>IF(AND(E340&lt;1.5,E340&gt;0.5),TRUE,FALSE)</f>
        <v>0</v>
      </c>
      <c r="I340" t="s">
        <v>450</v>
      </c>
      <c r="J340" t="s">
        <v>798</v>
      </c>
      <c r="K340" t="s">
        <v>468</v>
      </c>
      <c r="L340" s="1"/>
      <c r="M340" s="1"/>
    </row>
    <row r="341" spans="1:13" x14ac:dyDescent="0.2">
      <c r="A341" s="1" t="s">
        <v>343</v>
      </c>
      <c r="B341" s="1">
        <v>0.44319999999999998</v>
      </c>
      <c r="C341" s="1">
        <v>1.38E-2</v>
      </c>
      <c r="D341" s="1">
        <v>0.54290000000000005</v>
      </c>
      <c r="E341" s="1">
        <f>C341/D341</f>
        <v>2.5419045864800146E-2</v>
      </c>
      <c r="F341" s="1" t="str">
        <f>IF(B341&lt;0.7,"True","False")</f>
        <v>True</v>
      </c>
      <c r="G341" s="1" t="b">
        <f>IF(OR(E341&gt;1.5,E341&lt;0.5),TRUE,FALSE)</f>
        <v>1</v>
      </c>
      <c r="H341" s="1" t="b">
        <f>IF(AND(E341&lt;1.5,E341&gt;0.5),TRUE,FALSE)</f>
        <v>0</v>
      </c>
      <c r="I341" t="s">
        <v>450</v>
      </c>
      <c r="J341" t="s">
        <v>799</v>
      </c>
      <c r="K341" t="s">
        <v>468</v>
      </c>
      <c r="L341" s="1"/>
      <c r="M341" s="1"/>
    </row>
    <row r="342" spans="1:13" x14ac:dyDescent="0.2">
      <c r="A342" s="1" t="s">
        <v>344</v>
      </c>
      <c r="B342" s="1">
        <v>0.78180000000000005</v>
      </c>
      <c r="C342" s="1">
        <v>4.7999999999999996E-3</v>
      </c>
      <c r="D342" s="1">
        <v>0.21340000000000001</v>
      </c>
      <c r="E342" s="1">
        <f>C342/D342</f>
        <v>2.2492970946579191E-2</v>
      </c>
      <c r="F342" s="1" t="str">
        <f>IF(B342&lt;0.7,"True","False")</f>
        <v>False</v>
      </c>
      <c r="G342" s="1" t="b">
        <f>IF(OR(E342&gt;1.5,E342&lt;0.5),TRUE,FALSE)</f>
        <v>1</v>
      </c>
      <c r="H342" s="1" t="b">
        <f>IF(AND(E342&lt;1.5,E342&gt;0.5),TRUE,FALSE)</f>
        <v>0</v>
      </c>
      <c r="I342" t="s">
        <v>450</v>
      </c>
      <c r="J342" t="s">
        <v>800</v>
      </c>
      <c r="K342" t="s">
        <v>468</v>
      </c>
      <c r="L342" s="1"/>
      <c r="M342" s="1"/>
    </row>
    <row r="343" spans="1:13" x14ac:dyDescent="0.2">
      <c r="A343" s="1" t="s">
        <v>345</v>
      </c>
      <c r="B343" s="1">
        <v>0.27039999999999997</v>
      </c>
      <c r="C343" s="1">
        <v>1.04E-2</v>
      </c>
      <c r="D343" s="1">
        <v>0.71919999999999995</v>
      </c>
      <c r="E343" s="1">
        <f>C343/D343</f>
        <v>1.446051167964405E-2</v>
      </c>
      <c r="F343" s="1" t="str">
        <f>IF(B343&lt;0.7,"True","False")</f>
        <v>True</v>
      </c>
      <c r="G343" s="1" t="b">
        <f>IF(OR(E343&gt;1.5,E343&lt;0.5),TRUE,FALSE)</f>
        <v>1</v>
      </c>
      <c r="H343" s="1" t="b">
        <f>IF(AND(E343&lt;1.5,E343&gt;0.5),TRUE,FALSE)</f>
        <v>0</v>
      </c>
      <c r="I343" t="s">
        <v>450</v>
      </c>
      <c r="J343" t="s">
        <v>801</v>
      </c>
      <c r="K343" t="s">
        <v>468</v>
      </c>
      <c r="L343" s="1"/>
      <c r="M343" s="1"/>
    </row>
    <row r="344" spans="1:13" x14ac:dyDescent="0.2">
      <c r="A344" s="1" t="s">
        <v>346</v>
      </c>
      <c r="B344" s="1">
        <v>0.44969999999999999</v>
      </c>
      <c r="C344" s="1">
        <v>8.9999999999999993E-3</v>
      </c>
      <c r="D344" s="1">
        <v>0.54120000000000001</v>
      </c>
      <c r="E344" s="1">
        <f>C344/D344</f>
        <v>1.662971175166297E-2</v>
      </c>
      <c r="F344" s="1" t="str">
        <f>IF(B344&lt;0.7,"True","False")</f>
        <v>True</v>
      </c>
      <c r="G344" s="1" t="b">
        <f>IF(OR(E344&gt;1.5,E344&lt;0.5),TRUE,FALSE)</f>
        <v>1</v>
      </c>
      <c r="H344" s="1" t="b">
        <f>IF(AND(E344&lt;1.5,E344&gt;0.5),TRUE,FALSE)</f>
        <v>0</v>
      </c>
      <c r="I344" t="s">
        <v>450</v>
      </c>
      <c r="J344" t="s">
        <v>802</v>
      </c>
      <c r="K344" t="s">
        <v>468</v>
      </c>
      <c r="L344" s="1"/>
      <c r="M344" s="1"/>
    </row>
    <row r="345" spans="1:13" x14ac:dyDescent="0.2">
      <c r="A345" s="1" t="s">
        <v>347</v>
      </c>
      <c r="B345" s="1">
        <v>0.28789999999999999</v>
      </c>
      <c r="C345" s="1">
        <v>1.01E-2</v>
      </c>
      <c r="D345" s="1">
        <v>0.70199999999999996</v>
      </c>
      <c r="E345" s="1">
        <f>C345/D345</f>
        <v>1.4387464387464388E-2</v>
      </c>
      <c r="F345" s="1" t="str">
        <f>IF(B345&lt;0.7,"True","False")</f>
        <v>True</v>
      </c>
      <c r="G345" s="1" t="b">
        <f>IF(OR(E345&gt;1.5,E345&lt;0.5),TRUE,FALSE)</f>
        <v>1</v>
      </c>
      <c r="H345" s="1" t="b">
        <f>IF(AND(E345&lt;1.5,E345&gt;0.5),TRUE,FALSE)</f>
        <v>0</v>
      </c>
      <c r="I345" t="s">
        <v>450</v>
      </c>
      <c r="J345" t="s">
        <v>803</v>
      </c>
      <c r="K345" t="s">
        <v>468</v>
      </c>
      <c r="L345" s="1"/>
      <c r="M345" s="1"/>
    </row>
    <row r="346" spans="1:13" x14ac:dyDescent="0.2">
      <c r="A346" s="1" t="s">
        <v>348</v>
      </c>
      <c r="B346" s="1">
        <v>0.27339999999999998</v>
      </c>
      <c r="C346" s="1">
        <v>8.2000000000000007E-3</v>
      </c>
      <c r="D346" s="1">
        <v>0.71840000000000004</v>
      </c>
      <c r="E346" s="1">
        <f>C346/D346</f>
        <v>1.1414253897550112E-2</v>
      </c>
      <c r="F346" s="1" t="str">
        <f>IF(B346&lt;0.7,"True","False")</f>
        <v>True</v>
      </c>
      <c r="G346" s="1" t="b">
        <f>IF(OR(E346&gt;1.5,E346&lt;0.5),TRUE,FALSE)</f>
        <v>1</v>
      </c>
      <c r="H346" s="1" t="b">
        <f>IF(AND(E346&lt;1.5,E346&gt;0.5),TRUE,FALSE)</f>
        <v>0</v>
      </c>
      <c r="I346" t="s">
        <v>450</v>
      </c>
      <c r="J346" t="s">
        <v>804</v>
      </c>
      <c r="K346" t="s">
        <v>468</v>
      </c>
      <c r="L346" s="1"/>
      <c r="M346" s="1"/>
    </row>
    <row r="347" spans="1:13" x14ac:dyDescent="0.2">
      <c r="A347" s="1" t="s">
        <v>349</v>
      </c>
      <c r="B347" s="1">
        <v>0.16020000000000001</v>
      </c>
      <c r="C347" s="1">
        <v>1.4999999999999999E-2</v>
      </c>
      <c r="D347" s="1">
        <v>0.82479999999999998</v>
      </c>
      <c r="E347" s="1">
        <f>C347/D347</f>
        <v>1.8186226964112512E-2</v>
      </c>
      <c r="F347" s="1" t="str">
        <f>IF(B347&lt;0.7,"True","False")</f>
        <v>True</v>
      </c>
      <c r="G347" s="1" t="b">
        <f>IF(OR(E347&gt;1.5,E347&lt;0.5),TRUE,FALSE)</f>
        <v>1</v>
      </c>
      <c r="H347" s="1" t="b">
        <f>IF(AND(E347&lt;1.5,E347&gt;0.5),TRUE,FALSE)</f>
        <v>0</v>
      </c>
      <c r="I347" t="s">
        <v>450</v>
      </c>
      <c r="J347" t="s">
        <v>805</v>
      </c>
      <c r="K347" t="s">
        <v>468</v>
      </c>
      <c r="L347" s="1"/>
      <c r="M347" s="1"/>
    </row>
    <row r="348" spans="1:13" x14ac:dyDescent="0.2">
      <c r="A348" s="1" t="s">
        <v>350</v>
      </c>
      <c r="B348" s="1">
        <v>0.2014</v>
      </c>
      <c r="C348" s="1">
        <v>7.4000000000000003E-3</v>
      </c>
      <c r="D348" s="1">
        <v>0.79120000000000001</v>
      </c>
      <c r="E348" s="1">
        <f>C348/D348</f>
        <v>9.3528816986855404E-3</v>
      </c>
      <c r="F348" s="1" t="str">
        <f>IF(B348&lt;0.7,"True","False")</f>
        <v>True</v>
      </c>
      <c r="G348" s="1" t="b">
        <f>IF(OR(E348&gt;1.5,E348&lt;0.5),TRUE,FALSE)</f>
        <v>1</v>
      </c>
      <c r="H348" s="1" t="b">
        <f>IF(AND(E348&lt;1.5,E348&gt;0.5),TRUE,FALSE)</f>
        <v>0</v>
      </c>
      <c r="I348" t="s">
        <v>450</v>
      </c>
      <c r="J348" t="s">
        <v>806</v>
      </c>
      <c r="K348" t="s">
        <v>468</v>
      </c>
      <c r="L348" s="1"/>
      <c r="M348" s="1"/>
    </row>
    <row r="349" spans="1:13" x14ac:dyDescent="0.2">
      <c r="A349" s="1" t="s">
        <v>351</v>
      </c>
      <c r="B349" s="1">
        <v>0.60270000000000001</v>
      </c>
      <c r="C349" s="1">
        <v>3.7000000000000002E-3</v>
      </c>
      <c r="D349" s="1">
        <v>0.39369999999999999</v>
      </c>
      <c r="E349" s="1">
        <f>C349/D349</f>
        <v>9.3980187960375928E-3</v>
      </c>
      <c r="F349" s="1" t="str">
        <f>IF(B349&lt;0.7,"True","False")</f>
        <v>True</v>
      </c>
      <c r="G349" s="1" t="b">
        <f>IF(OR(E349&gt;1.5,E349&lt;0.5),TRUE,FALSE)</f>
        <v>1</v>
      </c>
      <c r="H349" s="1" t="b">
        <f>IF(AND(E349&lt;1.5,E349&gt;0.5),TRUE,FALSE)</f>
        <v>0</v>
      </c>
      <c r="I349" t="s">
        <v>450</v>
      </c>
      <c r="J349" t="s">
        <v>807</v>
      </c>
      <c r="K349" t="s">
        <v>468</v>
      </c>
      <c r="L349" s="1"/>
      <c r="M349" s="1"/>
    </row>
    <row r="350" spans="1:13" x14ac:dyDescent="0.2">
      <c r="A350" s="1" t="s">
        <v>352</v>
      </c>
      <c r="B350" s="1">
        <v>8.3199999999999996E-2</v>
      </c>
      <c r="C350" s="1">
        <v>2.7699999999999999E-2</v>
      </c>
      <c r="D350" s="1">
        <v>0.8891</v>
      </c>
      <c r="E350" s="1">
        <f>C350/D350</f>
        <v>3.1155100663592394E-2</v>
      </c>
      <c r="F350" s="1" t="str">
        <f>IF(B350&lt;0.7,"True","False")</f>
        <v>True</v>
      </c>
      <c r="G350" s="1" t="b">
        <f>IF(OR(E350&gt;1.5,E350&lt;0.5),TRUE,FALSE)</f>
        <v>1</v>
      </c>
      <c r="H350" s="1" t="b">
        <f>IF(AND(E350&lt;1.5,E350&gt;0.5),TRUE,FALSE)</f>
        <v>0</v>
      </c>
      <c r="I350" t="s">
        <v>450</v>
      </c>
      <c r="J350" t="s">
        <v>808</v>
      </c>
      <c r="K350" t="s">
        <v>468</v>
      </c>
      <c r="L350" s="1"/>
      <c r="M350" s="1"/>
    </row>
    <row r="351" spans="1:13" x14ac:dyDescent="0.2">
      <c r="A351" s="1" t="s">
        <v>353</v>
      </c>
      <c r="B351" s="1">
        <v>0.99780000000000002</v>
      </c>
      <c r="C351" s="1">
        <v>2.0000000000000001E-4</v>
      </c>
      <c r="D351" s="1">
        <v>2E-3</v>
      </c>
      <c r="E351" s="1">
        <f>C351/D351</f>
        <v>0.1</v>
      </c>
      <c r="F351" s="1" t="str">
        <f>IF(B351&lt;0.7,"True","False")</f>
        <v>False</v>
      </c>
      <c r="G351" s="1" t="b">
        <f>IF(OR(E351&gt;1.5,E351&lt;0.5),TRUE,FALSE)</f>
        <v>1</v>
      </c>
      <c r="H351" s="1" t="b">
        <f>IF(AND(E351&lt;1.5,E351&gt;0.5),TRUE,FALSE)</f>
        <v>0</v>
      </c>
      <c r="I351" t="s">
        <v>450</v>
      </c>
      <c r="J351" t="s">
        <v>809</v>
      </c>
      <c r="K351" t="s">
        <v>468</v>
      </c>
      <c r="L351" s="1"/>
      <c r="M351" s="1"/>
    </row>
    <row r="352" spans="1:13" x14ac:dyDescent="0.2">
      <c r="A352" s="1" t="s">
        <v>354</v>
      </c>
      <c r="B352" s="1">
        <v>0.99329999999999996</v>
      </c>
      <c r="C352" s="1">
        <v>1.1000000000000001E-3</v>
      </c>
      <c r="D352" s="1">
        <v>5.4999999999999997E-3</v>
      </c>
      <c r="E352" s="1">
        <f>C352/D352</f>
        <v>0.2</v>
      </c>
      <c r="F352" s="1" t="str">
        <f>IF(B352&lt;0.7,"True","False")</f>
        <v>False</v>
      </c>
      <c r="G352" s="1" t="b">
        <f>IF(OR(E352&gt;1.5,E352&lt;0.5),TRUE,FALSE)</f>
        <v>1</v>
      </c>
      <c r="H352" s="1" t="b">
        <f>IF(AND(E352&lt;1.5,E352&gt;0.5),TRUE,FALSE)</f>
        <v>0</v>
      </c>
      <c r="I352" t="s">
        <v>450</v>
      </c>
      <c r="J352" t="s">
        <v>810</v>
      </c>
      <c r="K352" t="s">
        <v>468</v>
      </c>
      <c r="L352" s="1"/>
      <c r="M352" s="1"/>
    </row>
    <row r="353" spans="1:13" x14ac:dyDescent="0.2">
      <c r="A353" s="1" t="s">
        <v>355</v>
      </c>
      <c r="B353" s="1">
        <v>0.65839999999999999</v>
      </c>
      <c r="C353" s="1">
        <v>7.1000000000000004E-3</v>
      </c>
      <c r="D353" s="1">
        <v>0.33450000000000002</v>
      </c>
      <c r="E353" s="1">
        <f>C353/D353</f>
        <v>2.1225710014947684E-2</v>
      </c>
      <c r="F353" s="1" t="str">
        <f>IF(B353&lt;0.7,"True","False")</f>
        <v>True</v>
      </c>
      <c r="G353" s="1" t="b">
        <f>IF(OR(E353&gt;1.5,E353&lt;0.5),TRUE,FALSE)</f>
        <v>1</v>
      </c>
      <c r="H353" s="1" t="b">
        <f>IF(AND(E353&lt;1.5,E353&gt;0.5),TRUE,FALSE)</f>
        <v>0</v>
      </c>
      <c r="I353" t="s">
        <v>450</v>
      </c>
      <c r="J353" t="s">
        <v>811</v>
      </c>
      <c r="K353" t="s">
        <v>468</v>
      </c>
      <c r="L353" s="1"/>
      <c r="M353" s="1"/>
    </row>
    <row r="354" spans="1:13" x14ac:dyDescent="0.2">
      <c r="A354" s="1" t="s">
        <v>356</v>
      </c>
      <c r="B354" s="1">
        <v>0.62970000000000004</v>
      </c>
      <c r="C354" s="1">
        <v>5.1000000000000004E-3</v>
      </c>
      <c r="D354" s="1">
        <v>0.36520000000000002</v>
      </c>
      <c r="E354" s="1">
        <f>C354/D354</f>
        <v>1.3964950711938665E-2</v>
      </c>
      <c r="F354" s="1" t="str">
        <f>IF(B354&lt;0.7,"True","False")</f>
        <v>True</v>
      </c>
      <c r="G354" s="1" t="b">
        <f>IF(OR(E354&gt;1.5,E354&lt;0.5),TRUE,FALSE)</f>
        <v>1</v>
      </c>
      <c r="H354" s="1" t="b">
        <f>IF(AND(E354&lt;1.5,E354&gt;0.5),TRUE,FALSE)</f>
        <v>0</v>
      </c>
      <c r="I354" t="s">
        <v>450</v>
      </c>
      <c r="J354" t="s">
        <v>812</v>
      </c>
      <c r="K354" t="s">
        <v>468</v>
      </c>
      <c r="L354" s="1"/>
      <c r="M354" s="1"/>
    </row>
    <row r="355" spans="1:13" x14ac:dyDescent="0.2">
      <c r="A355" s="1" t="s">
        <v>357</v>
      </c>
      <c r="B355" s="1">
        <v>0.74129999999999996</v>
      </c>
      <c r="C355" s="1">
        <v>3.7000000000000002E-3</v>
      </c>
      <c r="D355" s="1">
        <v>0.25490000000000002</v>
      </c>
      <c r="E355" s="1">
        <f>C355/D355</f>
        <v>1.4515496273048253E-2</v>
      </c>
      <c r="F355" s="1" t="str">
        <f>IF(B355&lt;0.7,"True","False")</f>
        <v>False</v>
      </c>
      <c r="G355" s="1" t="b">
        <f>IF(OR(E355&gt;1.5,E355&lt;0.5),TRUE,FALSE)</f>
        <v>1</v>
      </c>
      <c r="H355" s="1" t="b">
        <f>IF(AND(E355&lt;1.5,E355&gt;0.5),TRUE,FALSE)</f>
        <v>0</v>
      </c>
      <c r="I355" t="s">
        <v>450</v>
      </c>
      <c r="J355" t="s">
        <v>813</v>
      </c>
      <c r="K355" t="s">
        <v>468</v>
      </c>
      <c r="L355" s="1"/>
      <c r="M355" s="1"/>
    </row>
    <row r="356" spans="1:13" x14ac:dyDescent="0.2">
      <c r="A356" s="1" t="s">
        <v>358</v>
      </c>
      <c r="B356" s="1">
        <v>0.75680000000000003</v>
      </c>
      <c r="C356" s="1">
        <v>3.8E-3</v>
      </c>
      <c r="D356" s="1">
        <v>0.2394</v>
      </c>
      <c r="E356" s="1">
        <f>C356/D356</f>
        <v>1.5873015873015872E-2</v>
      </c>
      <c r="F356" s="1" t="str">
        <f>IF(B356&lt;0.7,"True","False")</f>
        <v>False</v>
      </c>
      <c r="G356" s="1" t="b">
        <f>IF(OR(E356&gt;1.5,E356&lt;0.5),TRUE,FALSE)</f>
        <v>1</v>
      </c>
      <c r="H356" s="1" t="b">
        <f>IF(AND(E356&lt;1.5,E356&gt;0.5),TRUE,FALSE)</f>
        <v>0</v>
      </c>
      <c r="I356" t="s">
        <v>450</v>
      </c>
      <c r="J356" t="s">
        <v>814</v>
      </c>
      <c r="K356" t="s">
        <v>468</v>
      </c>
      <c r="L356" s="1"/>
      <c r="M356" s="1"/>
    </row>
    <row r="357" spans="1:13" x14ac:dyDescent="0.2">
      <c r="A357" s="1" t="s">
        <v>359</v>
      </c>
      <c r="B357" s="1">
        <v>0.64829999999999999</v>
      </c>
      <c r="C357" s="1">
        <v>5.4999999999999997E-3</v>
      </c>
      <c r="D357" s="1">
        <v>0.34620000000000001</v>
      </c>
      <c r="E357" s="1">
        <f>C357/D357</f>
        <v>1.5886770652801849E-2</v>
      </c>
      <c r="F357" s="1" t="str">
        <f>IF(B357&lt;0.7,"True","False")</f>
        <v>True</v>
      </c>
      <c r="G357" s="1" t="b">
        <f>IF(OR(E357&gt;1.5,E357&lt;0.5),TRUE,FALSE)</f>
        <v>1</v>
      </c>
      <c r="H357" s="1" t="b">
        <f>IF(AND(E357&lt;1.5,E357&gt;0.5),TRUE,FALSE)</f>
        <v>0</v>
      </c>
      <c r="I357" t="s">
        <v>450</v>
      </c>
      <c r="J357" t="s">
        <v>815</v>
      </c>
      <c r="K357" t="s">
        <v>468</v>
      </c>
      <c r="L357" s="1"/>
      <c r="M357" s="1"/>
    </row>
    <row r="358" spans="1:13" x14ac:dyDescent="0.2">
      <c r="A358" s="1" t="s">
        <v>360</v>
      </c>
      <c r="B358" s="1">
        <v>0.69359999999999999</v>
      </c>
      <c r="C358" s="1">
        <v>2.8999999999999998E-3</v>
      </c>
      <c r="D358" s="1">
        <v>0.30349999999999999</v>
      </c>
      <c r="E358" s="1">
        <f>C358/D358</f>
        <v>9.5551894563426689E-3</v>
      </c>
      <c r="F358" s="1" t="str">
        <f>IF(B358&lt;0.7,"True","False")</f>
        <v>True</v>
      </c>
      <c r="G358" s="1" t="b">
        <f>IF(OR(E358&gt;1.5,E358&lt;0.5),TRUE,FALSE)</f>
        <v>1</v>
      </c>
      <c r="H358" s="1" t="b">
        <f>IF(AND(E358&lt;1.5,E358&gt;0.5),TRUE,FALSE)</f>
        <v>0</v>
      </c>
      <c r="I358" t="s">
        <v>450</v>
      </c>
      <c r="J358" t="s">
        <v>816</v>
      </c>
      <c r="K358" t="s">
        <v>468</v>
      </c>
      <c r="L358" s="1"/>
      <c r="M358" s="1"/>
    </row>
    <row r="359" spans="1:13" x14ac:dyDescent="0.2">
      <c r="A359" s="1" t="s">
        <v>361</v>
      </c>
      <c r="B359" s="1">
        <v>0.4879</v>
      </c>
      <c r="C359" s="1">
        <v>1.3100000000000001E-2</v>
      </c>
      <c r="D359" s="1">
        <v>0.49909999999999999</v>
      </c>
      <c r="E359" s="1">
        <f>C359/D359</f>
        <v>2.6247245041073935E-2</v>
      </c>
      <c r="F359" s="1" t="str">
        <f>IF(B359&lt;0.7,"True","False")</f>
        <v>True</v>
      </c>
      <c r="G359" s="1" t="b">
        <f>IF(OR(E359&gt;1.5,E359&lt;0.5),TRUE,FALSE)</f>
        <v>1</v>
      </c>
      <c r="H359" s="1" t="b">
        <f>IF(AND(E359&lt;1.5,E359&gt;0.5),TRUE,FALSE)</f>
        <v>0</v>
      </c>
      <c r="I359" t="s">
        <v>450</v>
      </c>
      <c r="J359" t="s">
        <v>817</v>
      </c>
      <c r="K359" t="s">
        <v>468</v>
      </c>
      <c r="L359" s="1"/>
      <c r="M359" s="1"/>
    </row>
    <row r="360" spans="1:13" x14ac:dyDescent="0.2">
      <c r="A360" s="1" t="s">
        <v>362</v>
      </c>
      <c r="B360" s="1">
        <v>0.98899999999999999</v>
      </c>
      <c r="C360" s="1">
        <v>3.0000000000000001E-3</v>
      </c>
      <c r="D360" s="1">
        <v>8.0000000000000002E-3</v>
      </c>
      <c r="E360" s="1">
        <f>C360/D360</f>
        <v>0.375</v>
      </c>
      <c r="F360" s="1" t="str">
        <f>IF(B360&lt;0.7,"True","False")</f>
        <v>False</v>
      </c>
      <c r="G360" s="1" t="b">
        <f>IF(OR(E360&gt;1.5,E360&lt;0.5),TRUE,FALSE)</f>
        <v>1</v>
      </c>
      <c r="H360" s="1" t="b">
        <f>IF(AND(E360&lt;1.5,E360&gt;0.5),TRUE,FALSE)</f>
        <v>0</v>
      </c>
      <c r="I360" t="s">
        <v>450</v>
      </c>
      <c r="J360" t="s">
        <v>818</v>
      </c>
      <c r="K360" t="s">
        <v>468</v>
      </c>
      <c r="L360" s="1"/>
      <c r="M360" s="1"/>
    </row>
    <row r="361" spans="1:13" x14ac:dyDescent="0.2">
      <c r="A361" s="1" t="s">
        <v>363</v>
      </c>
      <c r="B361" s="1">
        <v>0.99360000000000004</v>
      </c>
      <c r="C361" s="1">
        <v>5.0000000000000001E-4</v>
      </c>
      <c r="D361" s="1">
        <v>5.7999999999999996E-3</v>
      </c>
      <c r="E361" s="1">
        <f>C361/D361</f>
        <v>8.6206896551724144E-2</v>
      </c>
      <c r="F361" s="1" t="str">
        <f>IF(B361&lt;0.7,"True","False")</f>
        <v>False</v>
      </c>
      <c r="G361" s="1" t="b">
        <f>IF(OR(E361&gt;1.5,E361&lt;0.5),TRUE,FALSE)</f>
        <v>1</v>
      </c>
      <c r="H361" s="1" t="b">
        <f>IF(AND(E361&lt;1.5,E361&gt;0.5),TRUE,FALSE)</f>
        <v>0</v>
      </c>
      <c r="I361" t="s">
        <v>450</v>
      </c>
      <c r="J361" t="s">
        <v>819</v>
      </c>
      <c r="K361" t="s">
        <v>468</v>
      </c>
      <c r="L361" s="1"/>
      <c r="M361" s="1"/>
    </row>
    <row r="362" spans="1:13" x14ac:dyDescent="0.2">
      <c r="A362" s="1" t="s">
        <v>364</v>
      </c>
      <c r="B362" s="1">
        <v>0.74350000000000005</v>
      </c>
      <c r="C362" s="1">
        <v>1.0699999999999999E-2</v>
      </c>
      <c r="D362" s="1">
        <v>0.24579999999999999</v>
      </c>
      <c r="E362" s="1">
        <f>C362/D362</f>
        <v>4.3531326281529698E-2</v>
      </c>
      <c r="F362" s="1" t="str">
        <f>IF(B362&lt;0.7,"True","False")</f>
        <v>False</v>
      </c>
      <c r="G362" s="1" t="b">
        <f>IF(OR(E362&gt;1.5,E362&lt;0.5),TRUE,FALSE)</f>
        <v>1</v>
      </c>
      <c r="H362" s="1" t="b">
        <f>IF(AND(E362&lt;1.5,E362&gt;0.5),TRUE,FALSE)</f>
        <v>0</v>
      </c>
      <c r="I362" t="s">
        <v>450</v>
      </c>
      <c r="J362" t="s">
        <v>820</v>
      </c>
      <c r="K362" t="s">
        <v>468</v>
      </c>
      <c r="L362" s="1"/>
      <c r="M362" s="1"/>
    </row>
    <row r="363" spans="1:13" x14ac:dyDescent="0.2">
      <c r="A363" s="1" t="s">
        <v>365</v>
      </c>
      <c r="B363" s="1">
        <v>0.58130000000000004</v>
      </c>
      <c r="C363" s="1">
        <v>5.4000000000000003E-3</v>
      </c>
      <c r="D363" s="1">
        <v>0.4133</v>
      </c>
      <c r="E363" s="1">
        <f>C363/D363</f>
        <v>1.3065569804016453E-2</v>
      </c>
      <c r="F363" s="1" t="str">
        <f>IF(B363&lt;0.7,"True","False")</f>
        <v>True</v>
      </c>
      <c r="G363" s="1" t="b">
        <f>IF(OR(E363&gt;1.5,E363&lt;0.5),TRUE,FALSE)</f>
        <v>1</v>
      </c>
      <c r="H363" s="1" t="b">
        <f>IF(AND(E363&lt;1.5,E363&gt;0.5),TRUE,FALSE)</f>
        <v>0</v>
      </c>
      <c r="I363" t="s">
        <v>450</v>
      </c>
      <c r="J363" t="s">
        <v>821</v>
      </c>
      <c r="K363" t="s">
        <v>468</v>
      </c>
      <c r="L363" s="1"/>
      <c r="M363" s="1"/>
    </row>
    <row r="364" spans="1:13" x14ac:dyDescent="0.2">
      <c r="A364" s="1" t="s">
        <v>366</v>
      </c>
      <c r="B364" s="1">
        <v>0.84370000000000001</v>
      </c>
      <c r="C364" s="1">
        <v>3.3999999999999998E-3</v>
      </c>
      <c r="D364" s="1">
        <v>0.15290000000000001</v>
      </c>
      <c r="E364" s="1">
        <f>C364/D364</f>
        <v>2.2236756049705687E-2</v>
      </c>
      <c r="F364" s="1" t="str">
        <f>IF(B364&lt;0.7,"True","False")</f>
        <v>False</v>
      </c>
      <c r="G364" s="1" t="b">
        <f>IF(OR(E364&gt;1.5,E364&lt;0.5),TRUE,FALSE)</f>
        <v>1</v>
      </c>
      <c r="H364" s="1" t="b">
        <f>IF(AND(E364&lt;1.5,E364&gt;0.5),TRUE,FALSE)</f>
        <v>0</v>
      </c>
      <c r="I364" t="s">
        <v>450</v>
      </c>
      <c r="J364" t="s">
        <v>822</v>
      </c>
      <c r="K364" t="s">
        <v>468</v>
      </c>
      <c r="L364" s="1"/>
      <c r="M364" s="1"/>
    </row>
    <row r="365" spans="1:13" x14ac:dyDescent="0.2">
      <c r="A365" s="1" t="s">
        <v>367</v>
      </c>
      <c r="B365" s="1">
        <v>0.99660000000000004</v>
      </c>
      <c r="C365" s="1">
        <v>4.0000000000000002E-4</v>
      </c>
      <c r="D365" s="1">
        <v>3.0000000000000001E-3</v>
      </c>
      <c r="E365" s="1">
        <f>C365/D365</f>
        <v>0.13333333333333333</v>
      </c>
      <c r="F365" s="1" t="str">
        <f>IF(B365&lt;0.7,"True","False")</f>
        <v>False</v>
      </c>
      <c r="G365" s="1" t="b">
        <f>IF(OR(E365&gt;1.5,E365&lt;0.5),TRUE,FALSE)</f>
        <v>1</v>
      </c>
      <c r="H365" s="1" t="b">
        <f>IF(AND(E365&lt;1.5,E365&gt;0.5),TRUE,FALSE)</f>
        <v>0</v>
      </c>
      <c r="I365" t="s">
        <v>450</v>
      </c>
      <c r="J365" t="s">
        <v>823</v>
      </c>
      <c r="K365" t="s">
        <v>468</v>
      </c>
      <c r="L365" s="1"/>
      <c r="M365" s="1"/>
    </row>
    <row r="366" spans="1:13" x14ac:dyDescent="0.2">
      <c r="A366" s="1" t="s">
        <v>368</v>
      </c>
      <c r="B366" s="1">
        <v>0.68689999999999996</v>
      </c>
      <c r="C366" s="1">
        <v>3.7000000000000002E-3</v>
      </c>
      <c r="D366" s="1">
        <v>0.30940000000000001</v>
      </c>
      <c r="E366" s="1">
        <f>C366/D366</f>
        <v>1.195862960568843E-2</v>
      </c>
      <c r="F366" s="1" t="str">
        <f>IF(B366&lt;0.7,"True","False")</f>
        <v>True</v>
      </c>
      <c r="G366" s="1" t="b">
        <f>IF(OR(E366&gt;1.5,E366&lt;0.5),TRUE,FALSE)</f>
        <v>1</v>
      </c>
      <c r="H366" s="1" t="b">
        <f>IF(AND(E366&lt;1.5,E366&gt;0.5),TRUE,FALSE)</f>
        <v>0</v>
      </c>
      <c r="I366" t="s">
        <v>450</v>
      </c>
      <c r="J366" t="s">
        <v>824</v>
      </c>
      <c r="K366" t="s">
        <v>468</v>
      </c>
      <c r="L366" s="1"/>
      <c r="M366" s="1"/>
    </row>
    <row r="367" spans="1:13" x14ac:dyDescent="0.2">
      <c r="A367" s="1" t="s">
        <v>369</v>
      </c>
      <c r="B367" s="1">
        <v>0.98050000000000004</v>
      </c>
      <c r="C367" s="1">
        <v>1.9E-3</v>
      </c>
      <c r="D367" s="1">
        <v>1.7600000000000001E-2</v>
      </c>
      <c r="E367" s="1">
        <f>C367/D367</f>
        <v>0.10795454545454544</v>
      </c>
      <c r="F367" s="1" t="str">
        <f>IF(B367&lt;0.7,"True","False")</f>
        <v>False</v>
      </c>
      <c r="G367" s="1" t="b">
        <f>IF(OR(E367&gt;1.5,E367&lt;0.5),TRUE,FALSE)</f>
        <v>1</v>
      </c>
      <c r="H367" s="1" t="b">
        <f>IF(AND(E367&lt;1.5,E367&gt;0.5),TRUE,FALSE)</f>
        <v>0</v>
      </c>
      <c r="I367" t="s">
        <v>450</v>
      </c>
      <c r="J367" t="s">
        <v>825</v>
      </c>
      <c r="K367" t="s">
        <v>468</v>
      </c>
      <c r="L367" s="1"/>
      <c r="M367" s="1"/>
    </row>
    <row r="368" spans="1:13" x14ac:dyDescent="0.2">
      <c r="A368" s="1" t="s">
        <v>370</v>
      </c>
      <c r="B368" s="1">
        <v>0.99470000000000003</v>
      </c>
      <c r="C368" s="1">
        <v>6.9999999999999999E-4</v>
      </c>
      <c r="D368" s="1">
        <v>4.7000000000000002E-3</v>
      </c>
      <c r="E368" s="1">
        <f>C368/D368</f>
        <v>0.14893617021276595</v>
      </c>
      <c r="F368" s="1" t="str">
        <f>IF(B368&lt;0.7,"True","False")</f>
        <v>False</v>
      </c>
      <c r="G368" s="1" t="b">
        <f>IF(OR(E368&gt;1.5,E368&lt;0.5),TRUE,FALSE)</f>
        <v>1</v>
      </c>
      <c r="H368" s="1" t="b">
        <f>IF(AND(E368&lt;1.5,E368&gt;0.5),TRUE,FALSE)</f>
        <v>0</v>
      </c>
      <c r="I368" t="s">
        <v>450</v>
      </c>
      <c r="J368" t="s">
        <v>826</v>
      </c>
      <c r="K368" t="s">
        <v>468</v>
      </c>
      <c r="L368" s="1"/>
      <c r="M368" s="1"/>
    </row>
    <row r="369" spans="1:13" x14ac:dyDescent="0.2">
      <c r="A369" s="1" t="s">
        <v>371</v>
      </c>
      <c r="B369" s="1">
        <v>0.98719999999999997</v>
      </c>
      <c r="C369" s="1">
        <v>6.9999999999999999E-4</v>
      </c>
      <c r="D369" s="1">
        <v>1.2200000000000001E-2</v>
      </c>
      <c r="E369" s="1">
        <f>C369/D369</f>
        <v>5.7377049180327863E-2</v>
      </c>
      <c r="F369" s="1" t="str">
        <f>IF(B369&lt;0.7,"True","False")</f>
        <v>False</v>
      </c>
      <c r="G369" s="1" t="b">
        <f>IF(OR(E369&gt;1.5,E369&lt;0.5),TRUE,FALSE)</f>
        <v>1</v>
      </c>
      <c r="H369" s="1" t="b">
        <f>IF(AND(E369&lt;1.5,E369&gt;0.5),TRUE,FALSE)</f>
        <v>0</v>
      </c>
      <c r="I369" t="s">
        <v>450</v>
      </c>
      <c r="J369" t="s">
        <v>827</v>
      </c>
      <c r="K369" t="s">
        <v>468</v>
      </c>
      <c r="L369" s="1"/>
      <c r="M369" s="1"/>
    </row>
    <row r="370" spans="1:13" x14ac:dyDescent="0.2">
      <c r="A370" s="1" t="s">
        <v>372</v>
      </c>
      <c r="B370" s="1">
        <v>0.99729999999999996</v>
      </c>
      <c r="C370" s="1">
        <v>2.9999999999999997E-4</v>
      </c>
      <c r="D370" s="1">
        <v>2.3999999999999998E-3</v>
      </c>
      <c r="E370" s="1">
        <f>C370/D370</f>
        <v>0.125</v>
      </c>
      <c r="F370" s="1" t="str">
        <f>IF(B370&lt;0.7,"True","False")</f>
        <v>False</v>
      </c>
      <c r="G370" s="1" t="b">
        <f>IF(OR(E370&gt;1.5,E370&lt;0.5),TRUE,FALSE)</f>
        <v>1</v>
      </c>
      <c r="H370" s="1" t="b">
        <f>IF(AND(E370&lt;1.5,E370&gt;0.5),TRUE,FALSE)</f>
        <v>0</v>
      </c>
      <c r="I370" t="s">
        <v>450</v>
      </c>
      <c r="J370" t="s">
        <v>828</v>
      </c>
      <c r="K370" t="s">
        <v>468</v>
      </c>
      <c r="L370" s="1"/>
      <c r="M370" s="1"/>
    </row>
    <row r="371" spans="1:13" x14ac:dyDescent="0.2">
      <c r="A371" s="1" t="s">
        <v>373</v>
      </c>
      <c r="B371" s="1">
        <v>0.41060000000000002</v>
      </c>
      <c r="C371" s="1">
        <v>1.2800000000000001E-2</v>
      </c>
      <c r="D371" s="1">
        <v>0.5766</v>
      </c>
      <c r="E371" s="1">
        <f>C371/D371</f>
        <v>2.2199098161637183E-2</v>
      </c>
      <c r="F371" s="1" t="str">
        <f>IF(B371&lt;0.7,"True","False")</f>
        <v>True</v>
      </c>
      <c r="G371" s="1" t="b">
        <f>IF(OR(E371&gt;1.5,E371&lt;0.5),TRUE,FALSE)</f>
        <v>1</v>
      </c>
      <c r="H371" s="1" t="b">
        <f>IF(AND(E371&lt;1.5,E371&gt;0.5),TRUE,FALSE)</f>
        <v>0</v>
      </c>
      <c r="I371" t="s">
        <v>450</v>
      </c>
      <c r="J371" t="s">
        <v>829</v>
      </c>
      <c r="K371" t="s">
        <v>468</v>
      </c>
      <c r="L371" s="1"/>
      <c r="M371" s="1"/>
    </row>
    <row r="372" spans="1:13" x14ac:dyDescent="0.2">
      <c r="A372" s="1" t="s">
        <v>374</v>
      </c>
      <c r="B372" s="1">
        <v>0.34089999999999998</v>
      </c>
      <c r="C372" s="1">
        <v>2.2800000000000001E-2</v>
      </c>
      <c r="D372" s="1">
        <v>0.63639999999999997</v>
      </c>
      <c r="E372" s="1">
        <f>C372/D372</f>
        <v>3.5826524198617225E-2</v>
      </c>
      <c r="F372" s="1" t="str">
        <f>IF(B372&lt;0.7,"True","False")</f>
        <v>True</v>
      </c>
      <c r="G372" s="1" t="b">
        <f>IF(OR(E372&gt;1.5,E372&lt;0.5),TRUE,FALSE)</f>
        <v>1</v>
      </c>
      <c r="H372" s="1" t="b">
        <f>IF(AND(E372&lt;1.5,E372&gt;0.5),TRUE,FALSE)</f>
        <v>0</v>
      </c>
      <c r="I372" t="s">
        <v>450</v>
      </c>
      <c r="J372" t="s">
        <v>830</v>
      </c>
      <c r="K372" t="s">
        <v>468</v>
      </c>
      <c r="L372" s="1"/>
      <c r="M372" s="1"/>
    </row>
    <row r="373" spans="1:13" x14ac:dyDescent="0.2">
      <c r="A373" s="1" t="s">
        <v>375</v>
      </c>
      <c r="B373" s="1">
        <v>0.39419999999999999</v>
      </c>
      <c r="C373" s="1">
        <v>7.4999999999999997E-3</v>
      </c>
      <c r="D373" s="1">
        <v>0.59830000000000005</v>
      </c>
      <c r="E373" s="1">
        <f>C373/D373</f>
        <v>1.253551729901387E-2</v>
      </c>
      <c r="F373" s="1" t="str">
        <f>IF(B373&lt;0.7,"True","False")</f>
        <v>True</v>
      </c>
      <c r="G373" s="1" t="b">
        <f>IF(OR(E373&gt;1.5,E373&lt;0.5),TRUE,FALSE)</f>
        <v>1</v>
      </c>
      <c r="H373" s="1" t="b">
        <f>IF(AND(E373&lt;1.5,E373&gt;0.5),TRUE,FALSE)</f>
        <v>0</v>
      </c>
      <c r="I373" t="s">
        <v>450</v>
      </c>
      <c r="J373" t="s">
        <v>831</v>
      </c>
      <c r="K373" t="s">
        <v>468</v>
      </c>
      <c r="L373" s="1"/>
      <c r="M373" s="1"/>
    </row>
    <row r="374" spans="1:13" x14ac:dyDescent="0.2">
      <c r="A374" s="1" t="s">
        <v>376</v>
      </c>
      <c r="B374" s="1">
        <v>0.65210000000000001</v>
      </c>
      <c r="C374" s="1">
        <v>5.7000000000000002E-3</v>
      </c>
      <c r="D374" s="1">
        <v>0.3422</v>
      </c>
      <c r="E374" s="1">
        <f>C374/D374</f>
        <v>1.6656925774400935E-2</v>
      </c>
      <c r="F374" s="1" t="str">
        <f>IF(B374&lt;0.7,"True","False")</f>
        <v>True</v>
      </c>
      <c r="G374" s="1" t="b">
        <f>IF(OR(E374&gt;1.5,E374&lt;0.5),TRUE,FALSE)</f>
        <v>1</v>
      </c>
      <c r="H374" s="1" t="b">
        <f>IF(AND(E374&lt;1.5,E374&gt;0.5),TRUE,FALSE)</f>
        <v>0</v>
      </c>
      <c r="I374" t="s">
        <v>450</v>
      </c>
      <c r="J374" t="s">
        <v>832</v>
      </c>
      <c r="K374" t="s">
        <v>468</v>
      </c>
      <c r="L374" s="1"/>
      <c r="M374" s="1"/>
    </row>
    <row r="375" spans="1:13" x14ac:dyDescent="0.2">
      <c r="A375" s="1" t="s">
        <v>377</v>
      </c>
      <c r="B375" s="1">
        <v>0.3826</v>
      </c>
      <c r="C375" s="1">
        <v>7.6E-3</v>
      </c>
      <c r="D375" s="1">
        <v>0.60980000000000001</v>
      </c>
      <c r="E375" s="1">
        <f>C375/D375</f>
        <v>1.2463102656608724E-2</v>
      </c>
      <c r="F375" s="1" t="str">
        <f>IF(B375&lt;0.7,"True","False")</f>
        <v>True</v>
      </c>
      <c r="G375" s="1" t="b">
        <f>IF(OR(E375&gt;1.5,E375&lt;0.5),TRUE,FALSE)</f>
        <v>1</v>
      </c>
      <c r="H375" s="1" t="b">
        <f>IF(AND(E375&lt;1.5,E375&gt;0.5),TRUE,FALSE)</f>
        <v>0</v>
      </c>
      <c r="I375" t="s">
        <v>450</v>
      </c>
      <c r="J375" t="s">
        <v>833</v>
      </c>
      <c r="K375" t="s">
        <v>468</v>
      </c>
      <c r="L375" s="1"/>
      <c r="M375" s="1"/>
    </row>
    <row r="376" spans="1:13" x14ac:dyDescent="0.2">
      <c r="A376" s="1" t="s">
        <v>378</v>
      </c>
      <c r="B376" s="1">
        <v>0.48249999999999998</v>
      </c>
      <c r="C376" s="1">
        <v>1.4200000000000001E-2</v>
      </c>
      <c r="D376" s="1">
        <v>0.50329999999999997</v>
      </c>
      <c r="E376" s="1">
        <f>C376/D376</f>
        <v>2.8213788992648522E-2</v>
      </c>
      <c r="F376" s="1" t="str">
        <f>IF(B376&lt;0.7,"True","False")</f>
        <v>True</v>
      </c>
      <c r="G376" s="1" t="b">
        <f>IF(OR(E376&gt;1.5,E376&lt;0.5),TRUE,FALSE)</f>
        <v>1</v>
      </c>
      <c r="H376" s="1" t="b">
        <f>IF(AND(E376&lt;1.5,E376&gt;0.5),TRUE,FALSE)</f>
        <v>0</v>
      </c>
      <c r="I376" t="s">
        <v>450</v>
      </c>
      <c r="J376" t="s">
        <v>834</v>
      </c>
      <c r="K376" t="s">
        <v>468</v>
      </c>
      <c r="L376" s="1"/>
      <c r="M376" s="1"/>
    </row>
    <row r="377" spans="1:13" x14ac:dyDescent="0.2">
      <c r="A377" s="1" t="s">
        <v>379</v>
      </c>
      <c r="B377" s="1">
        <v>0.98939999999999995</v>
      </c>
      <c r="C377" s="1">
        <v>2.8999999999999998E-3</v>
      </c>
      <c r="D377" s="1">
        <v>7.7000000000000002E-3</v>
      </c>
      <c r="E377" s="1">
        <f>C377/D377</f>
        <v>0.37662337662337658</v>
      </c>
      <c r="F377" s="1" t="str">
        <f>IF(B377&lt;0.7,"True","False")</f>
        <v>False</v>
      </c>
      <c r="G377" s="1" t="b">
        <f>IF(OR(E377&gt;1.5,E377&lt;0.5),TRUE,FALSE)</f>
        <v>1</v>
      </c>
      <c r="H377" s="1" t="b">
        <f>IF(AND(E377&lt;1.5,E377&gt;0.5),TRUE,FALSE)</f>
        <v>0</v>
      </c>
      <c r="I377" t="s">
        <v>450</v>
      </c>
      <c r="J377" t="s">
        <v>835</v>
      </c>
      <c r="K377" t="s">
        <v>468</v>
      </c>
      <c r="L377" s="1"/>
      <c r="M377" s="1"/>
    </row>
    <row r="378" spans="1:13" x14ac:dyDescent="0.2">
      <c r="A378" s="1" t="s">
        <v>380</v>
      </c>
      <c r="B378" s="1">
        <v>0.7762</v>
      </c>
      <c r="C378" s="1">
        <v>4.4000000000000003E-3</v>
      </c>
      <c r="D378" s="1">
        <v>0.21929999999999999</v>
      </c>
      <c r="E378" s="1">
        <f>C378/D378</f>
        <v>2.0063839489284089E-2</v>
      </c>
      <c r="F378" s="1" t="str">
        <f>IF(B378&lt;0.7,"True","False")</f>
        <v>False</v>
      </c>
      <c r="G378" s="1" t="b">
        <f>IF(OR(E378&gt;1.5,E378&lt;0.5),TRUE,FALSE)</f>
        <v>1</v>
      </c>
      <c r="H378" s="1" t="b">
        <f>IF(AND(E378&lt;1.5,E378&gt;0.5),TRUE,FALSE)</f>
        <v>0</v>
      </c>
      <c r="I378" t="s">
        <v>450</v>
      </c>
      <c r="J378" t="s">
        <v>836</v>
      </c>
      <c r="K378" t="s">
        <v>468</v>
      </c>
      <c r="L378" s="1"/>
      <c r="M378" s="1"/>
    </row>
    <row r="379" spans="1:13" x14ac:dyDescent="0.2">
      <c r="A379" s="1" t="s">
        <v>381</v>
      </c>
      <c r="B379" s="1">
        <v>0.58550000000000002</v>
      </c>
      <c r="C379" s="1">
        <v>6.4000000000000003E-3</v>
      </c>
      <c r="D379" s="1">
        <v>0.40810000000000002</v>
      </c>
      <c r="E379" s="1">
        <f>C379/D379</f>
        <v>1.5682430776770399E-2</v>
      </c>
      <c r="F379" s="1" t="str">
        <f>IF(B379&lt;0.7,"True","False")</f>
        <v>True</v>
      </c>
      <c r="G379" s="1" t="b">
        <f>IF(OR(E379&gt;1.5,E379&lt;0.5),TRUE,FALSE)</f>
        <v>1</v>
      </c>
      <c r="H379" s="1" t="b">
        <f>IF(AND(E379&lt;1.5,E379&gt;0.5),TRUE,FALSE)</f>
        <v>0</v>
      </c>
      <c r="I379" t="s">
        <v>450</v>
      </c>
      <c r="J379" t="s">
        <v>837</v>
      </c>
      <c r="K379" t="s">
        <v>468</v>
      </c>
      <c r="L379" s="1"/>
      <c r="M379" s="1"/>
    </row>
    <row r="380" spans="1:13" x14ac:dyDescent="0.2">
      <c r="A380" s="1" t="s">
        <v>382</v>
      </c>
      <c r="B380" s="1">
        <v>0.21879999999999999</v>
      </c>
      <c r="C380" s="1">
        <v>1.43E-2</v>
      </c>
      <c r="D380" s="1">
        <v>0.76690000000000003</v>
      </c>
      <c r="E380" s="1">
        <f>C380/D380</f>
        <v>1.8646498891641675E-2</v>
      </c>
      <c r="F380" s="1" t="str">
        <f>IF(B380&lt;0.7,"True","False")</f>
        <v>True</v>
      </c>
      <c r="G380" s="1" t="b">
        <f>IF(OR(E380&gt;1.5,E380&lt;0.5),TRUE,FALSE)</f>
        <v>1</v>
      </c>
      <c r="H380" s="1" t="b">
        <f>IF(AND(E380&lt;1.5,E380&gt;0.5),TRUE,FALSE)</f>
        <v>0</v>
      </c>
      <c r="I380" t="s">
        <v>450</v>
      </c>
      <c r="J380" t="s">
        <v>838</v>
      </c>
      <c r="K380" t="s">
        <v>468</v>
      </c>
      <c r="L380" s="1"/>
      <c r="M380" s="1"/>
    </row>
    <row r="381" spans="1:13" x14ac:dyDescent="0.2">
      <c r="A381" s="1" t="s">
        <v>383</v>
      </c>
      <c r="B381" s="1">
        <v>0.33100000000000002</v>
      </c>
      <c r="C381" s="1">
        <v>8.9999999999999993E-3</v>
      </c>
      <c r="D381" s="1">
        <v>0.65990000000000004</v>
      </c>
      <c r="E381" s="1">
        <f>C381/D381</f>
        <v>1.3638430065161387E-2</v>
      </c>
      <c r="F381" s="1" t="str">
        <f>IF(B381&lt;0.7,"True","False")</f>
        <v>True</v>
      </c>
      <c r="G381" s="1" t="b">
        <f>IF(OR(E381&gt;1.5,E381&lt;0.5),TRUE,FALSE)</f>
        <v>1</v>
      </c>
      <c r="H381" s="1" t="b">
        <f>IF(AND(E381&lt;1.5,E381&gt;0.5),TRUE,FALSE)</f>
        <v>0</v>
      </c>
      <c r="I381" t="s">
        <v>450</v>
      </c>
      <c r="J381" t="s">
        <v>839</v>
      </c>
      <c r="K381" t="s">
        <v>468</v>
      </c>
      <c r="L381" s="1"/>
      <c r="M381" s="1"/>
    </row>
    <row r="382" spans="1:13" x14ac:dyDescent="0.2">
      <c r="A382" s="1" t="s">
        <v>384</v>
      </c>
      <c r="B382" s="1">
        <v>0.99680000000000002</v>
      </c>
      <c r="C382" s="1">
        <v>1E-3</v>
      </c>
      <c r="D382" s="1">
        <v>2.2000000000000001E-3</v>
      </c>
      <c r="E382" s="1">
        <f>C382/D382</f>
        <v>0.45454545454545453</v>
      </c>
      <c r="F382" s="1" t="str">
        <f>IF(B382&lt;0.7,"True","False")</f>
        <v>False</v>
      </c>
      <c r="G382" s="1" t="b">
        <f>IF(OR(E382&gt;1.5,E382&lt;0.5),TRUE,FALSE)</f>
        <v>1</v>
      </c>
      <c r="H382" s="1" t="b">
        <f>IF(AND(E382&lt;1.5,E382&gt;0.5),TRUE,FALSE)</f>
        <v>0</v>
      </c>
      <c r="I382" t="s">
        <v>450</v>
      </c>
      <c r="J382" t="s">
        <v>840</v>
      </c>
      <c r="K382" t="s">
        <v>468</v>
      </c>
      <c r="L382" s="1"/>
      <c r="M382" s="1"/>
    </row>
    <row r="383" spans="1:13" x14ac:dyDescent="0.2">
      <c r="A383" s="1" t="s">
        <v>385</v>
      </c>
      <c r="B383" s="1">
        <v>0.4153</v>
      </c>
      <c r="C383" s="1">
        <v>1.0200000000000001E-2</v>
      </c>
      <c r="D383" s="1">
        <v>0.57450000000000001</v>
      </c>
      <c r="E383" s="1">
        <f>C383/D383</f>
        <v>1.7754569190600523E-2</v>
      </c>
      <c r="F383" s="1" t="str">
        <f>IF(B383&lt;0.7,"True","False")</f>
        <v>True</v>
      </c>
      <c r="G383" s="1" t="b">
        <f>IF(OR(E383&gt;1.5,E383&lt;0.5),TRUE,FALSE)</f>
        <v>1</v>
      </c>
      <c r="H383" s="1" t="b">
        <f>IF(AND(E383&lt;1.5,E383&gt;0.5),TRUE,FALSE)</f>
        <v>0</v>
      </c>
      <c r="I383" t="s">
        <v>450</v>
      </c>
      <c r="J383" t="s">
        <v>841</v>
      </c>
      <c r="K383" t="s">
        <v>468</v>
      </c>
      <c r="L383" s="1"/>
      <c r="M383" s="1"/>
    </row>
    <row r="384" spans="1:13" x14ac:dyDescent="0.2">
      <c r="A384" s="1" t="s">
        <v>386</v>
      </c>
      <c r="B384" s="1">
        <v>0.5655</v>
      </c>
      <c r="C384" s="1">
        <v>7.7999999999999996E-3</v>
      </c>
      <c r="D384" s="1">
        <v>0.42670000000000002</v>
      </c>
      <c r="E384" s="1">
        <f>C384/D384</f>
        <v>1.8279821888914926E-2</v>
      </c>
      <c r="F384" s="1" t="str">
        <f>IF(B384&lt;0.7,"True","False")</f>
        <v>True</v>
      </c>
      <c r="G384" s="1" t="b">
        <f>IF(OR(E384&gt;1.5,E384&lt;0.5),TRUE,FALSE)</f>
        <v>1</v>
      </c>
      <c r="H384" s="1" t="b">
        <f>IF(AND(E384&lt;1.5,E384&gt;0.5),TRUE,FALSE)</f>
        <v>0</v>
      </c>
      <c r="I384" t="s">
        <v>450</v>
      </c>
      <c r="J384" t="s">
        <v>842</v>
      </c>
      <c r="K384" t="s">
        <v>468</v>
      </c>
      <c r="L384" s="1"/>
      <c r="M384" s="1"/>
    </row>
    <row r="385" spans="1:13" x14ac:dyDescent="0.2">
      <c r="A385" s="1" t="s">
        <v>387</v>
      </c>
      <c r="B385" s="1">
        <v>0.2858</v>
      </c>
      <c r="C385" s="1">
        <v>5.7999999999999996E-3</v>
      </c>
      <c r="D385" s="1">
        <v>0.70840000000000003</v>
      </c>
      <c r="E385" s="1">
        <f>C385/D385</f>
        <v>8.1874647092038382E-3</v>
      </c>
      <c r="F385" s="1" t="str">
        <f>IF(B385&lt;0.7,"True","False")</f>
        <v>True</v>
      </c>
      <c r="G385" s="1" t="b">
        <f>IF(OR(E385&gt;1.5,E385&lt;0.5),TRUE,FALSE)</f>
        <v>1</v>
      </c>
      <c r="H385" s="1" t="b">
        <f>IF(AND(E385&lt;1.5,E385&gt;0.5),TRUE,FALSE)</f>
        <v>0</v>
      </c>
      <c r="I385" t="s">
        <v>450</v>
      </c>
      <c r="J385" t="s">
        <v>843</v>
      </c>
      <c r="K385" t="s">
        <v>468</v>
      </c>
      <c r="L385" s="1"/>
      <c r="M385" s="1"/>
    </row>
    <row r="386" spans="1:13" x14ac:dyDescent="0.2">
      <c r="A386" s="1" t="s">
        <v>388</v>
      </c>
      <c r="B386" s="1">
        <v>0.3952</v>
      </c>
      <c r="C386" s="1">
        <v>1.2200000000000001E-2</v>
      </c>
      <c r="D386" s="1">
        <v>0.59260000000000002</v>
      </c>
      <c r="E386" s="1">
        <f>C386/D386</f>
        <v>2.0587242659466758E-2</v>
      </c>
      <c r="F386" s="1" t="str">
        <f>IF(B386&lt;0.7,"True","False")</f>
        <v>True</v>
      </c>
      <c r="G386" s="1" t="b">
        <f>IF(OR(E386&gt;1.5,E386&lt;0.5),TRUE,FALSE)</f>
        <v>1</v>
      </c>
      <c r="H386" s="1" t="b">
        <f>IF(AND(E386&lt;1.5,E386&gt;0.5),TRUE,FALSE)</f>
        <v>0</v>
      </c>
      <c r="I386" t="s">
        <v>450</v>
      </c>
      <c r="J386" t="s">
        <v>844</v>
      </c>
      <c r="K386" t="s">
        <v>468</v>
      </c>
      <c r="L386" s="1"/>
      <c r="M386" s="1"/>
    </row>
    <row r="387" spans="1:13" x14ac:dyDescent="0.2">
      <c r="A387" s="1" t="s">
        <v>389</v>
      </c>
      <c r="B387" s="1">
        <v>0.99160000000000004</v>
      </c>
      <c r="C387" s="1">
        <v>2.5000000000000001E-3</v>
      </c>
      <c r="D387" s="1">
        <v>5.8999999999999999E-3</v>
      </c>
      <c r="E387" s="1">
        <f>C387/D387</f>
        <v>0.42372881355932207</v>
      </c>
      <c r="F387" s="1" t="str">
        <f>IF(B387&lt;0.7,"True","False")</f>
        <v>False</v>
      </c>
      <c r="G387" s="1" t="b">
        <f>IF(OR(E387&gt;1.5,E387&lt;0.5),TRUE,FALSE)</f>
        <v>1</v>
      </c>
      <c r="H387" s="1" t="b">
        <f>IF(AND(E387&lt;1.5,E387&gt;0.5),TRUE,FALSE)</f>
        <v>0</v>
      </c>
      <c r="I387" t="s">
        <v>450</v>
      </c>
      <c r="J387" t="s">
        <v>845</v>
      </c>
      <c r="K387" t="s">
        <v>468</v>
      </c>
      <c r="L387" s="1"/>
      <c r="M387" s="1"/>
    </row>
    <row r="388" spans="1:13" x14ac:dyDescent="0.2">
      <c r="A388" s="1" t="s">
        <v>390</v>
      </c>
      <c r="B388" s="1">
        <v>0.82040000000000002</v>
      </c>
      <c r="C388" s="1">
        <v>4.1000000000000003E-3</v>
      </c>
      <c r="D388" s="1">
        <v>0.17549999999999999</v>
      </c>
      <c r="E388" s="1">
        <f>C388/D388</f>
        <v>2.3361823361823367E-2</v>
      </c>
      <c r="F388" s="1" t="str">
        <f>IF(B388&lt;0.7,"True","False")</f>
        <v>False</v>
      </c>
      <c r="G388" s="1" t="b">
        <f>IF(OR(E388&gt;1.5,E388&lt;0.5),TRUE,FALSE)</f>
        <v>1</v>
      </c>
      <c r="H388" s="1" t="b">
        <f>IF(AND(E388&lt;1.5,E388&gt;0.5),TRUE,FALSE)</f>
        <v>0</v>
      </c>
      <c r="I388" t="s">
        <v>450</v>
      </c>
      <c r="J388" t="s">
        <v>846</v>
      </c>
      <c r="K388" t="s">
        <v>468</v>
      </c>
      <c r="L388" s="1"/>
      <c r="M388" s="1"/>
    </row>
    <row r="389" spans="1:13" x14ac:dyDescent="0.2">
      <c r="A389" s="1" t="s">
        <v>391</v>
      </c>
      <c r="B389" s="1">
        <v>0.99150000000000005</v>
      </c>
      <c r="C389" s="1">
        <v>8.0000000000000004E-4</v>
      </c>
      <c r="D389" s="1">
        <v>7.7000000000000002E-3</v>
      </c>
      <c r="E389" s="1">
        <f>C389/D389</f>
        <v>0.1038961038961039</v>
      </c>
      <c r="F389" s="1" t="str">
        <f>IF(B389&lt;0.7,"True","False")</f>
        <v>False</v>
      </c>
      <c r="G389" s="1" t="b">
        <f>IF(OR(E389&gt;1.5,E389&lt;0.5),TRUE,FALSE)</f>
        <v>1</v>
      </c>
      <c r="H389" s="1" t="b">
        <f>IF(AND(E389&lt;1.5,E389&gt;0.5),TRUE,FALSE)</f>
        <v>0</v>
      </c>
      <c r="I389" t="s">
        <v>450</v>
      </c>
      <c r="J389" t="s">
        <v>847</v>
      </c>
      <c r="K389" t="s">
        <v>468</v>
      </c>
      <c r="L389" s="1"/>
      <c r="M389" s="1"/>
    </row>
    <row r="390" spans="1:13" x14ac:dyDescent="0.2">
      <c r="A390" s="1" t="s">
        <v>392</v>
      </c>
      <c r="B390" s="1">
        <v>0.995</v>
      </c>
      <c r="C390" s="1">
        <v>1.1000000000000001E-3</v>
      </c>
      <c r="D390" s="1">
        <v>3.8999999999999998E-3</v>
      </c>
      <c r="E390" s="1">
        <f>C390/D390</f>
        <v>0.2820512820512821</v>
      </c>
      <c r="F390" s="1" t="str">
        <f>IF(B390&lt;0.7,"True","False")</f>
        <v>False</v>
      </c>
      <c r="G390" s="1" t="b">
        <f>IF(OR(E390&gt;1.5,E390&lt;0.5),TRUE,FALSE)</f>
        <v>1</v>
      </c>
      <c r="H390" s="1" t="b">
        <f>IF(AND(E390&lt;1.5,E390&gt;0.5),TRUE,FALSE)</f>
        <v>0</v>
      </c>
      <c r="I390" t="s">
        <v>450</v>
      </c>
      <c r="J390" t="s">
        <v>848</v>
      </c>
      <c r="K390" t="s">
        <v>468</v>
      </c>
      <c r="L390" s="1"/>
      <c r="M390" s="1"/>
    </row>
    <row r="391" spans="1:13" x14ac:dyDescent="0.2">
      <c r="A391" s="1" t="s">
        <v>393</v>
      </c>
      <c r="B391" s="1">
        <v>0.65569999999999995</v>
      </c>
      <c r="C391" s="1">
        <v>8.6E-3</v>
      </c>
      <c r="D391" s="1">
        <v>0.3357</v>
      </c>
      <c r="E391" s="1">
        <f>C391/D391</f>
        <v>2.5618111408996128E-2</v>
      </c>
      <c r="F391" s="1" t="str">
        <f>IF(B391&lt;0.7,"True","False")</f>
        <v>True</v>
      </c>
      <c r="G391" s="1" t="b">
        <f>IF(OR(E391&gt;1.5,E391&lt;0.5),TRUE,FALSE)</f>
        <v>1</v>
      </c>
      <c r="H391" s="1" t="b">
        <f>IF(AND(E391&lt;1.5,E391&gt;0.5),TRUE,FALSE)</f>
        <v>0</v>
      </c>
      <c r="I391" t="s">
        <v>450</v>
      </c>
      <c r="J391" t="s">
        <v>849</v>
      </c>
      <c r="K391" t="s">
        <v>468</v>
      </c>
      <c r="L391" s="1"/>
      <c r="M391" s="1"/>
    </row>
    <row r="392" spans="1:13" x14ac:dyDescent="0.2">
      <c r="A392" s="1" t="s">
        <v>394</v>
      </c>
      <c r="B392" s="1">
        <v>0.56340000000000001</v>
      </c>
      <c r="C392" s="1">
        <v>1.47E-2</v>
      </c>
      <c r="D392" s="1">
        <v>0.4219</v>
      </c>
      <c r="E392" s="1">
        <f>C392/D392</f>
        <v>3.4842379710831949E-2</v>
      </c>
      <c r="F392" s="1" t="str">
        <f>IF(B392&lt;0.7,"True","False")</f>
        <v>True</v>
      </c>
      <c r="G392" s="1" t="b">
        <f>IF(OR(E392&gt;1.5,E392&lt;0.5),TRUE,FALSE)</f>
        <v>1</v>
      </c>
      <c r="H392" s="1" t="b">
        <f>IF(AND(E392&lt;1.5,E392&gt;0.5),TRUE,FALSE)</f>
        <v>0</v>
      </c>
      <c r="I392" t="s">
        <v>450</v>
      </c>
      <c r="J392" t="s">
        <v>850</v>
      </c>
      <c r="K392" t="s">
        <v>468</v>
      </c>
      <c r="L392" s="1"/>
      <c r="M392" s="1"/>
    </row>
    <row r="393" spans="1:13" x14ac:dyDescent="0.2">
      <c r="A393" s="1" t="s">
        <v>395</v>
      </c>
      <c r="B393" s="1">
        <v>0.98699999999999999</v>
      </c>
      <c r="C393" s="1">
        <v>1.9E-3</v>
      </c>
      <c r="D393" s="1">
        <v>1.11E-2</v>
      </c>
      <c r="E393" s="1">
        <f>C393/D393</f>
        <v>0.17117117117117117</v>
      </c>
      <c r="F393" s="1" t="str">
        <f>IF(B393&lt;0.7,"True","False")</f>
        <v>False</v>
      </c>
      <c r="G393" s="1" t="b">
        <f>IF(OR(E393&gt;1.5,E393&lt;0.5),TRUE,FALSE)</f>
        <v>1</v>
      </c>
      <c r="H393" s="1" t="b">
        <f>IF(AND(E393&lt;1.5,E393&gt;0.5),TRUE,FALSE)</f>
        <v>0</v>
      </c>
      <c r="I393" t="s">
        <v>450</v>
      </c>
      <c r="J393" t="s">
        <v>851</v>
      </c>
      <c r="K393" t="s">
        <v>468</v>
      </c>
      <c r="L393" s="1"/>
      <c r="M393" s="1"/>
    </row>
    <row r="394" spans="1:13" x14ac:dyDescent="0.2">
      <c r="A394" s="1" t="s">
        <v>396</v>
      </c>
      <c r="B394" s="1">
        <v>0.99019999999999997</v>
      </c>
      <c r="C394" s="1">
        <v>1.6000000000000001E-3</v>
      </c>
      <c r="D394" s="1">
        <v>8.0999999999999996E-3</v>
      </c>
      <c r="E394" s="1">
        <f>C394/D394</f>
        <v>0.19753086419753088</v>
      </c>
      <c r="F394" s="1" t="str">
        <f>IF(B394&lt;0.7,"True","False")</f>
        <v>False</v>
      </c>
      <c r="G394" s="1" t="b">
        <f>IF(OR(E394&gt;1.5,E394&lt;0.5),TRUE,FALSE)</f>
        <v>1</v>
      </c>
      <c r="H394" s="1" t="b">
        <f>IF(AND(E394&lt;1.5,E394&gt;0.5),TRUE,FALSE)</f>
        <v>0</v>
      </c>
      <c r="I394" t="s">
        <v>450</v>
      </c>
      <c r="J394" t="s">
        <v>852</v>
      </c>
      <c r="K394" t="s">
        <v>468</v>
      </c>
      <c r="L394" s="1"/>
      <c r="M394" s="1"/>
    </row>
    <row r="395" spans="1:13" x14ac:dyDescent="0.2">
      <c r="A395" s="1" t="s">
        <v>397</v>
      </c>
      <c r="B395" s="1">
        <v>0.4163</v>
      </c>
      <c r="C395" s="1">
        <v>6.7999999999999996E-3</v>
      </c>
      <c r="D395" s="1">
        <v>0.57689999999999997</v>
      </c>
      <c r="E395" s="1">
        <f>C395/D395</f>
        <v>1.1787138152192754E-2</v>
      </c>
      <c r="F395" s="1" t="str">
        <f>IF(B395&lt;0.7,"True","False")</f>
        <v>True</v>
      </c>
      <c r="G395" s="1" t="b">
        <f>IF(OR(E395&gt;1.5,E395&lt;0.5),TRUE,FALSE)</f>
        <v>1</v>
      </c>
      <c r="H395" s="1" t="b">
        <f>IF(AND(E395&lt;1.5,E395&gt;0.5),TRUE,FALSE)</f>
        <v>0</v>
      </c>
      <c r="I395" t="s">
        <v>450</v>
      </c>
      <c r="J395" t="s">
        <v>853</v>
      </c>
      <c r="K395" t="s">
        <v>468</v>
      </c>
      <c r="L395" s="1"/>
      <c r="M395" s="1"/>
    </row>
    <row r="396" spans="1:13" x14ac:dyDescent="0.2">
      <c r="A396" s="1" t="s">
        <v>398</v>
      </c>
      <c r="B396" s="1">
        <v>0.99450000000000005</v>
      </c>
      <c r="C396" s="1">
        <v>5.9999999999999995E-4</v>
      </c>
      <c r="D396" s="1">
        <v>4.7999999999999996E-3</v>
      </c>
      <c r="E396" s="1">
        <f>C396/D396</f>
        <v>0.125</v>
      </c>
      <c r="F396" s="1" t="str">
        <f>IF(B396&lt;0.7,"True","False")</f>
        <v>False</v>
      </c>
      <c r="G396" s="1" t="b">
        <f>IF(OR(E396&gt;1.5,E396&lt;0.5),TRUE,FALSE)</f>
        <v>1</v>
      </c>
      <c r="H396" s="1" t="b">
        <f>IF(AND(E396&lt;1.5,E396&gt;0.5),TRUE,FALSE)</f>
        <v>0</v>
      </c>
      <c r="I396" t="s">
        <v>450</v>
      </c>
      <c r="J396" t="s">
        <v>854</v>
      </c>
      <c r="K396" t="s">
        <v>468</v>
      </c>
      <c r="L396" s="1"/>
      <c r="M396" s="1"/>
    </row>
    <row r="397" spans="1:13" x14ac:dyDescent="0.2">
      <c r="A397" s="1" t="s">
        <v>399</v>
      </c>
      <c r="B397" s="1">
        <v>0.99680000000000002</v>
      </c>
      <c r="C397" s="1">
        <v>1E-4</v>
      </c>
      <c r="D397" s="1">
        <v>3.0999999999999999E-3</v>
      </c>
      <c r="E397" s="1">
        <f>C397/D397</f>
        <v>3.2258064516129038E-2</v>
      </c>
      <c r="F397" s="1" t="str">
        <f>IF(B397&lt;0.7,"True","False")</f>
        <v>False</v>
      </c>
      <c r="G397" s="1" t="b">
        <f>IF(OR(E397&gt;1.5,E397&lt;0.5),TRUE,FALSE)</f>
        <v>1</v>
      </c>
      <c r="H397" s="1" t="b">
        <f>IF(AND(E397&lt;1.5,E397&gt;0.5),TRUE,FALSE)</f>
        <v>0</v>
      </c>
      <c r="I397" t="s">
        <v>450</v>
      </c>
      <c r="J397" t="s">
        <v>855</v>
      </c>
      <c r="K397" t="s">
        <v>468</v>
      </c>
      <c r="L397" s="1"/>
      <c r="M397" s="1"/>
    </row>
    <row r="398" spans="1:13" x14ac:dyDescent="0.2">
      <c r="A398" s="1" t="s">
        <v>400</v>
      </c>
      <c r="B398" s="1">
        <v>0.995</v>
      </c>
      <c r="C398" s="1">
        <v>5.0000000000000001E-4</v>
      </c>
      <c r="D398" s="1">
        <v>4.4999999999999997E-3</v>
      </c>
      <c r="E398" s="1">
        <f>C398/D398</f>
        <v>0.11111111111111112</v>
      </c>
      <c r="F398" s="1" t="str">
        <f>IF(B398&lt;0.7,"True","False")</f>
        <v>False</v>
      </c>
      <c r="G398" s="1" t="b">
        <f>IF(OR(E398&gt;1.5,E398&lt;0.5),TRUE,FALSE)</f>
        <v>1</v>
      </c>
      <c r="H398" s="1" t="b">
        <f>IF(AND(E398&lt;1.5,E398&gt;0.5),TRUE,FALSE)</f>
        <v>0</v>
      </c>
      <c r="I398" t="s">
        <v>450</v>
      </c>
      <c r="J398" t="s">
        <v>856</v>
      </c>
      <c r="K398" t="s">
        <v>468</v>
      </c>
      <c r="L398" s="1"/>
      <c r="M398" s="1"/>
    </row>
    <row r="399" spans="1:13" x14ac:dyDescent="0.2">
      <c r="A399" s="1" t="s">
        <v>401</v>
      </c>
      <c r="B399" s="1">
        <v>0.621</v>
      </c>
      <c r="C399" s="1">
        <v>7.4999999999999997E-3</v>
      </c>
      <c r="D399" s="1">
        <v>0.3715</v>
      </c>
      <c r="E399" s="1">
        <f>C399/D399</f>
        <v>2.0188425302826378E-2</v>
      </c>
      <c r="F399" s="1" t="str">
        <f>IF(B399&lt;0.7,"True","False")</f>
        <v>True</v>
      </c>
      <c r="G399" s="1" t="b">
        <f>IF(OR(E399&gt;1.5,E399&lt;0.5),TRUE,FALSE)</f>
        <v>1</v>
      </c>
      <c r="H399" s="1" t="b">
        <f>IF(AND(E399&lt;1.5,E399&gt;0.5),TRUE,FALSE)</f>
        <v>0</v>
      </c>
      <c r="I399" t="s">
        <v>450</v>
      </c>
      <c r="J399" t="s">
        <v>857</v>
      </c>
      <c r="K399" t="s">
        <v>468</v>
      </c>
      <c r="L399" s="1"/>
      <c r="M399" s="1"/>
    </row>
    <row r="400" spans="1:13" x14ac:dyDescent="0.2">
      <c r="A400" s="1" t="s">
        <v>402</v>
      </c>
      <c r="B400" s="1">
        <v>0.44679999999999997</v>
      </c>
      <c r="C400" s="1">
        <v>8.0000000000000002E-3</v>
      </c>
      <c r="D400" s="1">
        <v>0.54510000000000003</v>
      </c>
      <c r="E400" s="1">
        <f>C400/D400</f>
        <v>1.4676206200697119E-2</v>
      </c>
      <c r="F400" s="1" t="str">
        <f>IF(B400&lt;0.7,"True","False")</f>
        <v>True</v>
      </c>
      <c r="G400" s="1" t="b">
        <f>IF(OR(E400&gt;1.5,E400&lt;0.5),TRUE,FALSE)</f>
        <v>1</v>
      </c>
      <c r="H400" s="1" t="b">
        <f>IF(AND(E400&lt;1.5,E400&gt;0.5),TRUE,FALSE)</f>
        <v>0</v>
      </c>
      <c r="I400" t="s">
        <v>450</v>
      </c>
      <c r="J400" t="s">
        <v>858</v>
      </c>
      <c r="K400" t="s">
        <v>468</v>
      </c>
      <c r="L400" s="1"/>
      <c r="M400" s="1"/>
    </row>
    <row r="401" spans="1:13" x14ac:dyDescent="0.2">
      <c r="A401" s="1" t="s">
        <v>403</v>
      </c>
      <c r="B401" s="1">
        <v>0.71389999999999998</v>
      </c>
      <c r="C401" s="1">
        <v>6.0000000000000001E-3</v>
      </c>
      <c r="D401" s="1">
        <v>0.2802</v>
      </c>
      <c r="E401" s="1">
        <f>C401/D401</f>
        <v>2.1413276231263382E-2</v>
      </c>
      <c r="F401" s="1" t="str">
        <f>IF(B401&lt;0.7,"True","False")</f>
        <v>False</v>
      </c>
      <c r="G401" s="1" t="b">
        <f>IF(OR(E401&gt;1.5,E401&lt;0.5),TRUE,FALSE)</f>
        <v>1</v>
      </c>
      <c r="H401" s="1" t="b">
        <f>IF(AND(E401&lt;1.5,E401&gt;0.5),TRUE,FALSE)</f>
        <v>0</v>
      </c>
      <c r="I401" t="s">
        <v>450</v>
      </c>
      <c r="J401" t="s">
        <v>859</v>
      </c>
      <c r="K401" t="s">
        <v>468</v>
      </c>
      <c r="L401" s="1"/>
      <c r="M401" s="1"/>
    </row>
    <row r="402" spans="1:13" x14ac:dyDescent="0.2">
      <c r="A402" s="1" t="s">
        <v>404</v>
      </c>
      <c r="B402" s="1">
        <v>0.49440000000000001</v>
      </c>
      <c r="C402" s="1">
        <v>1.34E-2</v>
      </c>
      <c r="D402" s="1">
        <v>0.49220000000000003</v>
      </c>
      <c r="E402" s="1">
        <f>C402/D402</f>
        <v>2.722470540430719E-2</v>
      </c>
      <c r="F402" s="1" t="str">
        <f>IF(B402&lt;0.7,"True","False")</f>
        <v>True</v>
      </c>
      <c r="G402" s="1" t="b">
        <f>IF(OR(E402&gt;1.5,E402&lt;0.5),TRUE,FALSE)</f>
        <v>1</v>
      </c>
      <c r="H402" s="1" t="b">
        <f>IF(AND(E402&lt;1.5,E402&gt;0.5),TRUE,FALSE)</f>
        <v>0</v>
      </c>
      <c r="I402" t="s">
        <v>450</v>
      </c>
      <c r="J402" t="s">
        <v>860</v>
      </c>
      <c r="K402" t="s">
        <v>468</v>
      </c>
      <c r="L402" s="1"/>
      <c r="M402" s="1"/>
    </row>
    <row r="403" spans="1:13" x14ac:dyDescent="0.2">
      <c r="A403" s="1" t="s">
        <v>405</v>
      </c>
      <c r="B403" s="1">
        <v>0.59699999999999998</v>
      </c>
      <c r="C403" s="1">
        <v>8.5000000000000006E-3</v>
      </c>
      <c r="D403" s="1">
        <v>0.39450000000000002</v>
      </c>
      <c r="E403" s="1">
        <f>C403/D403</f>
        <v>2.1546261089987327E-2</v>
      </c>
      <c r="F403" s="1" t="str">
        <f>IF(B403&lt;0.7,"True","False")</f>
        <v>True</v>
      </c>
      <c r="G403" s="1" t="b">
        <f>IF(OR(E403&gt;1.5,E403&lt;0.5),TRUE,FALSE)</f>
        <v>1</v>
      </c>
      <c r="H403" s="1" t="b">
        <f>IF(AND(E403&lt;1.5,E403&gt;0.5),TRUE,FALSE)</f>
        <v>0</v>
      </c>
      <c r="I403" t="s">
        <v>450</v>
      </c>
      <c r="J403" t="s">
        <v>861</v>
      </c>
      <c r="K403" t="s">
        <v>468</v>
      </c>
      <c r="L403" s="1"/>
      <c r="M403" s="1"/>
    </row>
    <row r="404" spans="1:13" x14ac:dyDescent="0.2">
      <c r="A404" s="1" t="s">
        <v>406</v>
      </c>
      <c r="B404" s="1">
        <v>0.43909999999999999</v>
      </c>
      <c r="C404" s="1">
        <v>8.6E-3</v>
      </c>
      <c r="D404" s="1">
        <v>0.55220000000000002</v>
      </c>
      <c r="E404" s="1">
        <f>C404/D404</f>
        <v>1.5574067366896052E-2</v>
      </c>
      <c r="F404" s="1" t="str">
        <f>IF(B404&lt;0.7,"True","False")</f>
        <v>True</v>
      </c>
      <c r="G404" s="1" t="b">
        <f>IF(OR(E404&gt;1.5,E404&lt;0.5),TRUE,FALSE)</f>
        <v>1</v>
      </c>
      <c r="H404" s="1" t="b">
        <f>IF(AND(E404&lt;1.5,E404&gt;0.5),TRUE,FALSE)</f>
        <v>0</v>
      </c>
      <c r="I404" t="s">
        <v>450</v>
      </c>
      <c r="J404" t="s">
        <v>862</v>
      </c>
      <c r="K404" t="s">
        <v>468</v>
      </c>
      <c r="L404" s="1"/>
      <c r="M404" s="1"/>
    </row>
    <row r="405" spans="1:13" x14ac:dyDescent="0.2">
      <c r="A405" s="1" t="s">
        <v>407</v>
      </c>
      <c r="B405" s="1">
        <v>0.4108</v>
      </c>
      <c r="C405" s="1">
        <v>1.1299999999999999E-2</v>
      </c>
      <c r="D405" s="1">
        <v>0.57789999999999997</v>
      </c>
      <c r="E405" s="1">
        <f>C405/D405</f>
        <v>1.9553555978543E-2</v>
      </c>
      <c r="F405" s="1" t="str">
        <f>IF(B405&lt;0.7,"True","False")</f>
        <v>True</v>
      </c>
      <c r="G405" s="1" t="b">
        <f>IF(OR(E405&gt;1.5,E405&lt;0.5),TRUE,FALSE)</f>
        <v>1</v>
      </c>
      <c r="H405" s="1" t="b">
        <f>IF(AND(E405&lt;1.5,E405&gt;0.5),TRUE,FALSE)</f>
        <v>0</v>
      </c>
      <c r="I405" t="s">
        <v>450</v>
      </c>
      <c r="J405" t="s">
        <v>863</v>
      </c>
      <c r="K405" t="s">
        <v>468</v>
      </c>
      <c r="L405" s="1"/>
      <c r="M405" s="1"/>
    </row>
    <row r="406" spans="1:13" x14ac:dyDescent="0.2">
      <c r="A406" s="1" t="s">
        <v>408</v>
      </c>
      <c r="B406" s="1">
        <v>0.78029999999999999</v>
      </c>
      <c r="C406" s="1">
        <v>3.8999999999999998E-3</v>
      </c>
      <c r="D406" s="1">
        <v>0.21590000000000001</v>
      </c>
      <c r="E406" s="1">
        <f>C406/D406</f>
        <v>1.8063918480778138E-2</v>
      </c>
      <c r="F406" s="1" t="str">
        <f>IF(B406&lt;0.7,"True","False")</f>
        <v>False</v>
      </c>
      <c r="G406" s="1" t="b">
        <f>IF(OR(E406&gt;1.5,E406&lt;0.5),TRUE,FALSE)</f>
        <v>1</v>
      </c>
      <c r="H406" s="1" t="b">
        <f>IF(AND(E406&lt;1.5,E406&gt;0.5),TRUE,FALSE)</f>
        <v>0</v>
      </c>
      <c r="I406" t="s">
        <v>450</v>
      </c>
      <c r="J406" t="s">
        <v>864</v>
      </c>
      <c r="K406" t="s">
        <v>468</v>
      </c>
      <c r="L406" s="1"/>
      <c r="M406" s="1"/>
    </row>
    <row r="407" spans="1:13" x14ac:dyDescent="0.2">
      <c r="A407" s="1" t="s">
        <v>409</v>
      </c>
      <c r="B407" s="1">
        <v>0.99380000000000002</v>
      </c>
      <c r="C407" s="1">
        <v>5.0000000000000001E-4</v>
      </c>
      <c r="D407" s="1">
        <v>5.7000000000000002E-3</v>
      </c>
      <c r="E407" s="1">
        <f>C407/D407</f>
        <v>8.771929824561403E-2</v>
      </c>
      <c r="F407" s="1" t="str">
        <f>IF(B407&lt;0.7,"True","False")</f>
        <v>False</v>
      </c>
      <c r="G407" s="1" t="b">
        <f>IF(OR(E407&gt;1.5,E407&lt;0.5),TRUE,FALSE)</f>
        <v>1</v>
      </c>
      <c r="H407" s="1" t="b">
        <f>IF(AND(E407&lt;1.5,E407&gt;0.5),TRUE,FALSE)</f>
        <v>0</v>
      </c>
      <c r="I407" t="s">
        <v>450</v>
      </c>
      <c r="J407" t="s">
        <v>865</v>
      </c>
      <c r="K407" t="s">
        <v>468</v>
      </c>
      <c r="L407" s="1"/>
      <c r="M407" s="1"/>
    </row>
    <row r="408" spans="1:13" x14ac:dyDescent="0.2">
      <c r="A408" s="1" t="s">
        <v>410</v>
      </c>
      <c r="B408" s="1">
        <v>0.15720000000000001</v>
      </c>
      <c r="C408" s="1">
        <v>1.5800000000000002E-2</v>
      </c>
      <c r="D408" s="1">
        <v>0.82699999999999996</v>
      </c>
      <c r="E408" s="1">
        <f>C408/D408</f>
        <v>1.9105199516324067E-2</v>
      </c>
      <c r="F408" s="1" t="str">
        <f>IF(B408&lt;0.7,"True","False")</f>
        <v>True</v>
      </c>
      <c r="G408" s="1" t="b">
        <f>IF(OR(E408&gt;1.5,E408&lt;0.5),TRUE,FALSE)</f>
        <v>1</v>
      </c>
      <c r="H408" s="1" t="b">
        <f>IF(AND(E408&lt;1.5,E408&gt;0.5),TRUE,FALSE)</f>
        <v>0</v>
      </c>
      <c r="I408" t="s">
        <v>450</v>
      </c>
      <c r="J408" t="s">
        <v>866</v>
      </c>
      <c r="K408" t="s">
        <v>468</v>
      </c>
      <c r="L408" s="1"/>
      <c r="M408" s="1"/>
    </row>
    <row r="409" spans="1:13" x14ac:dyDescent="0.2">
      <c r="A409" s="1" t="s">
        <v>411</v>
      </c>
      <c r="B409" s="1">
        <v>0.159</v>
      </c>
      <c r="C409" s="1">
        <v>1.2200000000000001E-2</v>
      </c>
      <c r="D409" s="1">
        <v>0.82879999999999998</v>
      </c>
      <c r="E409" s="1">
        <f>C409/D409</f>
        <v>1.4720077220077222E-2</v>
      </c>
      <c r="F409" s="1" t="str">
        <f>IF(B409&lt;0.7,"True","False")</f>
        <v>True</v>
      </c>
      <c r="G409" s="1" t="b">
        <f>IF(OR(E409&gt;1.5,E409&lt;0.5),TRUE,FALSE)</f>
        <v>1</v>
      </c>
      <c r="H409" s="1" t="b">
        <f>IF(AND(E409&lt;1.5,E409&gt;0.5),TRUE,FALSE)</f>
        <v>0</v>
      </c>
      <c r="I409" t="s">
        <v>450</v>
      </c>
      <c r="J409" t="s">
        <v>867</v>
      </c>
      <c r="K409" t="s">
        <v>468</v>
      </c>
      <c r="L409" s="1"/>
      <c r="M409" s="1"/>
    </row>
    <row r="410" spans="1:13" x14ac:dyDescent="0.2">
      <c r="A410" s="1" t="s">
        <v>412</v>
      </c>
      <c r="B410" s="1">
        <v>0.40789999999999998</v>
      </c>
      <c r="C410" s="1">
        <v>6.8999999999999999E-3</v>
      </c>
      <c r="D410" s="1">
        <v>0.58520000000000005</v>
      </c>
      <c r="E410" s="1">
        <f>C410/D410</f>
        <v>1.1790840738209157E-2</v>
      </c>
      <c r="F410" s="1" t="str">
        <f>IF(B410&lt;0.7,"True","False")</f>
        <v>True</v>
      </c>
      <c r="G410" s="1" t="b">
        <f>IF(OR(E410&gt;1.5,E410&lt;0.5),TRUE,FALSE)</f>
        <v>1</v>
      </c>
      <c r="H410" s="1" t="b">
        <f>IF(AND(E410&lt;1.5,E410&gt;0.5),TRUE,FALSE)</f>
        <v>0</v>
      </c>
      <c r="I410" t="s">
        <v>450</v>
      </c>
      <c r="J410" t="s">
        <v>868</v>
      </c>
      <c r="K410" t="s">
        <v>468</v>
      </c>
      <c r="L410" s="1"/>
      <c r="M410" s="1"/>
    </row>
    <row r="411" spans="1:13" x14ac:dyDescent="0.2">
      <c r="A411" s="1" t="s">
        <v>413</v>
      </c>
      <c r="B411" s="1">
        <v>0.99139999999999995</v>
      </c>
      <c r="C411" s="1">
        <v>1.1000000000000001E-3</v>
      </c>
      <c r="D411" s="1">
        <v>7.4000000000000003E-3</v>
      </c>
      <c r="E411" s="1">
        <f>C411/D411</f>
        <v>0.14864864864864866</v>
      </c>
      <c r="F411" s="1" t="str">
        <f>IF(B411&lt;0.7,"True","False")</f>
        <v>False</v>
      </c>
      <c r="G411" s="1" t="b">
        <f>IF(OR(E411&gt;1.5,E411&lt;0.5),TRUE,FALSE)</f>
        <v>1</v>
      </c>
      <c r="H411" s="1" t="b">
        <f>IF(AND(E411&lt;1.5,E411&gt;0.5),TRUE,FALSE)</f>
        <v>0</v>
      </c>
      <c r="I411" t="s">
        <v>450</v>
      </c>
      <c r="J411" t="s">
        <v>869</v>
      </c>
      <c r="K411" t="s">
        <v>468</v>
      </c>
      <c r="L411" s="1"/>
      <c r="M411" s="1"/>
    </row>
    <row r="412" spans="1:13" x14ac:dyDescent="0.2">
      <c r="A412" s="1" t="s">
        <v>414</v>
      </c>
      <c r="B412" s="1">
        <v>0.91159999999999997</v>
      </c>
      <c r="C412" s="1">
        <v>1.2999999999999999E-3</v>
      </c>
      <c r="D412" s="1">
        <v>8.7099999999999997E-2</v>
      </c>
      <c r="E412" s="1">
        <f>C412/D412</f>
        <v>1.4925373134328358E-2</v>
      </c>
      <c r="F412" s="1" t="str">
        <f>IF(B412&lt;0.7,"True","False")</f>
        <v>False</v>
      </c>
      <c r="G412" s="1" t="b">
        <f>IF(OR(E412&gt;1.5,E412&lt;0.5),TRUE,FALSE)</f>
        <v>1</v>
      </c>
      <c r="H412" s="1" t="b">
        <f>IF(AND(E412&lt;1.5,E412&gt;0.5),TRUE,FALSE)</f>
        <v>0</v>
      </c>
      <c r="I412" t="s">
        <v>450</v>
      </c>
      <c r="J412" t="s">
        <v>870</v>
      </c>
      <c r="K412" t="s">
        <v>468</v>
      </c>
      <c r="L412" s="1"/>
      <c r="M412" s="1"/>
    </row>
    <row r="413" spans="1:13" x14ac:dyDescent="0.2">
      <c r="A413" s="1" t="s">
        <v>415</v>
      </c>
      <c r="B413" s="1">
        <v>0.1588</v>
      </c>
      <c r="C413" s="1">
        <v>1.4E-2</v>
      </c>
      <c r="D413" s="1">
        <v>0.82720000000000005</v>
      </c>
      <c r="E413" s="1">
        <f>C413/D413</f>
        <v>1.6924564796905222E-2</v>
      </c>
      <c r="F413" s="1" t="str">
        <f>IF(B413&lt;0.7,"True","False")</f>
        <v>True</v>
      </c>
      <c r="G413" s="1" t="b">
        <f>IF(OR(E413&gt;1.5,E413&lt;0.5),TRUE,FALSE)</f>
        <v>1</v>
      </c>
      <c r="H413" s="1" t="b">
        <f>IF(AND(E413&lt;1.5,E413&gt;0.5),TRUE,FALSE)</f>
        <v>0</v>
      </c>
      <c r="I413" t="s">
        <v>450</v>
      </c>
      <c r="J413" t="s">
        <v>871</v>
      </c>
      <c r="K413" t="s">
        <v>468</v>
      </c>
      <c r="L413" s="1"/>
      <c r="M413" s="1"/>
    </row>
    <row r="414" spans="1:13" x14ac:dyDescent="0.2">
      <c r="A414" s="1" t="s">
        <v>416</v>
      </c>
      <c r="B414" s="1">
        <v>0.879</v>
      </c>
      <c r="C414" s="1">
        <v>9.9000000000000008E-3</v>
      </c>
      <c r="D414" s="1">
        <v>0.11119999999999999</v>
      </c>
      <c r="E414" s="1">
        <f>C414/D414</f>
        <v>8.9028776978417282E-2</v>
      </c>
      <c r="F414" s="1" t="str">
        <f>IF(B414&lt;0.7,"True","False")</f>
        <v>False</v>
      </c>
      <c r="G414" s="1" t="b">
        <f>IF(OR(E414&gt;1.5,E414&lt;0.5),TRUE,FALSE)</f>
        <v>1</v>
      </c>
      <c r="H414" s="1" t="b">
        <f>IF(AND(E414&lt;1.5,E414&gt;0.5),TRUE,FALSE)</f>
        <v>0</v>
      </c>
      <c r="I414" t="s">
        <v>450</v>
      </c>
      <c r="J414" t="s">
        <v>872</v>
      </c>
      <c r="K414" t="s">
        <v>468</v>
      </c>
      <c r="L414" s="1"/>
      <c r="M414" s="1"/>
    </row>
    <row r="415" spans="1:13" x14ac:dyDescent="0.2">
      <c r="A415" s="1" t="s">
        <v>417</v>
      </c>
      <c r="B415" s="1">
        <v>0.77639999999999998</v>
      </c>
      <c r="C415" s="1">
        <v>3.8E-3</v>
      </c>
      <c r="D415" s="1">
        <v>0.2198</v>
      </c>
      <c r="E415" s="1">
        <f>C415/D415</f>
        <v>1.7288444040036398E-2</v>
      </c>
      <c r="F415" s="1" t="str">
        <f>IF(B415&lt;0.7,"True","False")</f>
        <v>False</v>
      </c>
      <c r="G415" s="1" t="b">
        <f>IF(OR(E415&gt;1.5,E415&lt;0.5),TRUE,FALSE)</f>
        <v>1</v>
      </c>
      <c r="H415" s="1" t="b">
        <f>IF(AND(E415&lt;1.5,E415&gt;0.5),TRUE,FALSE)</f>
        <v>0</v>
      </c>
      <c r="I415" t="s">
        <v>450</v>
      </c>
      <c r="J415" t="s">
        <v>873</v>
      </c>
      <c r="K415" t="s">
        <v>468</v>
      </c>
      <c r="L415" s="1"/>
      <c r="M415" s="1"/>
    </row>
    <row r="416" spans="1:13" x14ac:dyDescent="0.2">
      <c r="A416" s="1" t="s">
        <v>418</v>
      </c>
      <c r="B416" s="1">
        <v>0.67810000000000004</v>
      </c>
      <c r="C416" s="1">
        <v>6.3E-3</v>
      </c>
      <c r="D416" s="1">
        <v>0.31569999999999998</v>
      </c>
      <c r="E416" s="1">
        <f>C416/D416</f>
        <v>1.9955654101995568E-2</v>
      </c>
      <c r="F416" s="1" t="str">
        <f>IF(B416&lt;0.7,"True","False")</f>
        <v>True</v>
      </c>
      <c r="G416" s="1" t="b">
        <f>IF(OR(E416&gt;1.5,E416&lt;0.5),TRUE,FALSE)</f>
        <v>1</v>
      </c>
      <c r="H416" s="1" t="b">
        <f>IF(AND(E416&lt;1.5,E416&gt;0.5),TRUE,FALSE)</f>
        <v>0</v>
      </c>
      <c r="I416" t="s">
        <v>450</v>
      </c>
      <c r="J416" t="s">
        <v>874</v>
      </c>
      <c r="K416" t="s">
        <v>468</v>
      </c>
      <c r="L416" s="1"/>
      <c r="M416" s="1"/>
    </row>
    <row r="417" spans="1:13" s="3" customFormat="1" x14ac:dyDescent="0.2">
      <c r="A417" s="3" t="s">
        <v>419</v>
      </c>
      <c r="B417" s="3">
        <v>0.99460000000000004</v>
      </c>
      <c r="C417" s="3">
        <v>2.0999999999999999E-3</v>
      </c>
      <c r="D417" s="3">
        <v>3.3E-3</v>
      </c>
      <c r="E417" s="3">
        <f>C417/D417</f>
        <v>0.63636363636363635</v>
      </c>
      <c r="F417" s="3" t="str">
        <f>IF(B417&lt;0.7,"True","False")</f>
        <v>False</v>
      </c>
      <c r="G417" s="3" t="b">
        <f>IF(OR(E417&gt;1.5,E417&lt;0.5),TRUE,FALSE)</f>
        <v>0</v>
      </c>
      <c r="H417" s="3" t="b">
        <f>IF(AND(E417&lt;1.5,E417&gt;0.5),TRUE,FALSE)</f>
        <v>1</v>
      </c>
      <c r="I417" s="3" t="s">
        <v>449</v>
      </c>
      <c r="J417" s="3" t="s">
        <v>875</v>
      </c>
      <c r="K417" s="3" t="s">
        <v>468</v>
      </c>
    </row>
    <row r="418" spans="1:13" x14ac:dyDescent="0.2">
      <c r="A418" s="1" t="s">
        <v>420</v>
      </c>
      <c r="B418" s="1">
        <v>0.54830000000000001</v>
      </c>
      <c r="C418" s="1">
        <v>5.1000000000000004E-3</v>
      </c>
      <c r="D418" s="1">
        <v>0.4466</v>
      </c>
      <c r="E418" s="1">
        <f>C418/D418</f>
        <v>1.1419614867890731E-2</v>
      </c>
      <c r="F418" s="1" t="str">
        <f>IF(B418&lt;0.7,"True","False")</f>
        <v>True</v>
      </c>
      <c r="G418" s="1" t="b">
        <f>IF(OR(E418&gt;1.5,E418&lt;0.5),TRUE,FALSE)</f>
        <v>1</v>
      </c>
      <c r="H418" s="1" t="b">
        <f>IF(AND(E418&lt;1.5,E418&gt;0.5),TRUE,FALSE)</f>
        <v>0</v>
      </c>
      <c r="I418" t="s">
        <v>450</v>
      </c>
      <c r="J418" t="s">
        <v>876</v>
      </c>
      <c r="K418" t="s">
        <v>468</v>
      </c>
      <c r="L418" s="1"/>
      <c r="M418" s="1"/>
    </row>
    <row r="419" spans="1:13" x14ac:dyDescent="0.2">
      <c r="A419" s="1" t="s">
        <v>421</v>
      </c>
      <c r="B419" s="1">
        <v>0.99690000000000001</v>
      </c>
      <c r="C419" s="1">
        <v>2.9999999999999997E-4</v>
      </c>
      <c r="D419" s="1">
        <v>2.7000000000000001E-3</v>
      </c>
      <c r="E419" s="1">
        <f>C419/D419</f>
        <v>0.11111111111111109</v>
      </c>
      <c r="F419" s="1" t="str">
        <f>IF(B419&lt;0.7,"True","False")</f>
        <v>False</v>
      </c>
      <c r="G419" s="1" t="b">
        <f>IF(OR(E419&gt;1.5,E419&lt;0.5),TRUE,FALSE)</f>
        <v>1</v>
      </c>
      <c r="H419" s="1" t="b">
        <f>IF(AND(E419&lt;1.5,E419&gt;0.5),TRUE,FALSE)</f>
        <v>0</v>
      </c>
      <c r="I419" t="s">
        <v>450</v>
      </c>
      <c r="J419" t="s">
        <v>877</v>
      </c>
      <c r="K419" t="s">
        <v>468</v>
      </c>
      <c r="L419" s="1"/>
      <c r="M419" s="1"/>
    </row>
    <row r="420" spans="1:13" x14ac:dyDescent="0.2">
      <c r="A420" s="1" t="s">
        <v>422</v>
      </c>
      <c r="B420" s="1">
        <v>0.1865</v>
      </c>
      <c r="C420" s="1">
        <v>1.47E-2</v>
      </c>
      <c r="D420" s="1">
        <v>0.79879999999999995</v>
      </c>
      <c r="E420" s="1">
        <f>C420/D420</f>
        <v>1.8402603905858787E-2</v>
      </c>
      <c r="F420" s="1" t="str">
        <f>IF(B420&lt;0.7,"True","False")</f>
        <v>True</v>
      </c>
      <c r="G420" s="1" t="b">
        <f>IF(OR(E420&gt;1.5,E420&lt;0.5),TRUE,FALSE)</f>
        <v>1</v>
      </c>
      <c r="H420" s="1" t="b">
        <f>IF(AND(E420&lt;1.5,E420&gt;0.5),TRUE,FALSE)</f>
        <v>0</v>
      </c>
      <c r="I420" t="s">
        <v>450</v>
      </c>
      <c r="J420" t="s">
        <v>878</v>
      </c>
      <c r="K420" t="s">
        <v>468</v>
      </c>
      <c r="L420" s="1"/>
      <c r="M420" s="1"/>
    </row>
    <row r="421" spans="1:13" x14ac:dyDescent="0.2">
      <c r="A421" s="1" t="s">
        <v>423</v>
      </c>
      <c r="B421" s="1">
        <v>0.56720000000000004</v>
      </c>
      <c r="C421" s="1">
        <v>6.8999999999999999E-3</v>
      </c>
      <c r="D421" s="1">
        <v>0.4259</v>
      </c>
      <c r="E421" s="1">
        <f>C421/D421</f>
        <v>1.620098614698286E-2</v>
      </c>
      <c r="F421" s="1" t="str">
        <f>IF(B421&lt;0.7,"True","False")</f>
        <v>True</v>
      </c>
      <c r="G421" s="1" t="b">
        <f>IF(OR(E421&gt;1.5,E421&lt;0.5),TRUE,FALSE)</f>
        <v>1</v>
      </c>
      <c r="H421" s="1" t="b">
        <f>IF(AND(E421&lt;1.5,E421&gt;0.5),TRUE,FALSE)</f>
        <v>0</v>
      </c>
      <c r="I421" t="s">
        <v>450</v>
      </c>
      <c r="J421" t="s">
        <v>879</v>
      </c>
      <c r="K421" t="s">
        <v>468</v>
      </c>
      <c r="L421" s="1"/>
      <c r="M421" s="1"/>
    </row>
    <row r="422" spans="1:13" x14ac:dyDescent="0.2">
      <c r="A422" s="1" t="s">
        <v>424</v>
      </c>
      <c r="B422" s="1">
        <v>0.2445</v>
      </c>
      <c r="C422" s="1">
        <v>9.1000000000000004E-3</v>
      </c>
      <c r="D422" s="1">
        <v>0.74639999999999995</v>
      </c>
      <c r="E422" s="1">
        <f>C422/D422</f>
        <v>1.2191854233654879E-2</v>
      </c>
      <c r="F422" s="1" t="str">
        <f>IF(B422&lt;0.7,"True","False")</f>
        <v>True</v>
      </c>
      <c r="G422" s="1" t="b">
        <f>IF(OR(E422&gt;1.5,E422&lt;0.5),TRUE,FALSE)</f>
        <v>1</v>
      </c>
      <c r="H422" s="1" t="b">
        <f>IF(AND(E422&lt;1.5,E422&gt;0.5),TRUE,FALSE)</f>
        <v>0</v>
      </c>
      <c r="I422" t="s">
        <v>450</v>
      </c>
      <c r="J422" t="s">
        <v>880</v>
      </c>
      <c r="K422" t="s">
        <v>468</v>
      </c>
      <c r="L422" s="1"/>
      <c r="M422" s="1"/>
    </row>
    <row r="423" spans="1:13" x14ac:dyDescent="0.2">
      <c r="A423" s="1" t="s">
        <v>425</v>
      </c>
      <c r="B423" s="1">
        <v>0.51359999999999995</v>
      </c>
      <c r="C423" s="1">
        <v>5.7000000000000002E-3</v>
      </c>
      <c r="D423" s="1">
        <v>0.48070000000000002</v>
      </c>
      <c r="E423" s="1">
        <f>C423/D423</f>
        <v>1.1857707509881422E-2</v>
      </c>
      <c r="F423" s="1" t="str">
        <f>IF(B423&lt;0.7,"True","False")</f>
        <v>True</v>
      </c>
      <c r="G423" s="1" t="b">
        <f>IF(OR(E423&gt;1.5,E423&lt;0.5),TRUE,FALSE)</f>
        <v>1</v>
      </c>
      <c r="H423" s="1" t="b">
        <f>IF(AND(E423&lt;1.5,E423&gt;0.5),TRUE,FALSE)</f>
        <v>0</v>
      </c>
      <c r="I423" t="s">
        <v>450</v>
      </c>
      <c r="J423" t="s">
        <v>881</v>
      </c>
      <c r="K423" t="s">
        <v>468</v>
      </c>
      <c r="L423" s="1"/>
      <c r="M423" s="1"/>
    </row>
    <row r="424" spans="1:13" x14ac:dyDescent="0.2">
      <c r="A424" s="1" t="s">
        <v>426</v>
      </c>
      <c r="B424" s="1">
        <v>0.38550000000000001</v>
      </c>
      <c r="C424" s="1">
        <v>2.1100000000000001E-2</v>
      </c>
      <c r="D424" s="1">
        <v>0.59340000000000004</v>
      </c>
      <c r="E424" s="1">
        <f>C424/D424</f>
        <v>3.5557802494101787E-2</v>
      </c>
      <c r="F424" s="1" t="str">
        <f>IF(B424&lt;0.7,"True","False")</f>
        <v>True</v>
      </c>
      <c r="G424" s="1" t="b">
        <f>IF(OR(E424&gt;1.5,E424&lt;0.5),TRUE,FALSE)</f>
        <v>1</v>
      </c>
      <c r="H424" s="1" t="b">
        <f>IF(AND(E424&lt;1.5,E424&gt;0.5),TRUE,FALSE)</f>
        <v>0</v>
      </c>
      <c r="I424" t="s">
        <v>450</v>
      </c>
      <c r="J424" t="s">
        <v>882</v>
      </c>
      <c r="K424" t="s">
        <v>468</v>
      </c>
      <c r="L424" s="1"/>
      <c r="M424" s="1"/>
    </row>
    <row r="425" spans="1:13" x14ac:dyDescent="0.2">
      <c r="A425" s="1" t="s">
        <v>427</v>
      </c>
      <c r="B425" s="1">
        <v>0.99139999999999995</v>
      </c>
      <c r="C425" s="1">
        <v>5.0000000000000001E-4</v>
      </c>
      <c r="D425" s="1">
        <v>8.0999999999999996E-3</v>
      </c>
      <c r="E425" s="1">
        <f>C425/D425</f>
        <v>6.1728395061728399E-2</v>
      </c>
      <c r="F425" s="1" t="str">
        <f>IF(B425&lt;0.7,"True","False")</f>
        <v>False</v>
      </c>
      <c r="G425" s="1" t="b">
        <f>IF(OR(E425&gt;1.5,E425&lt;0.5),TRUE,FALSE)</f>
        <v>1</v>
      </c>
      <c r="H425" s="1" t="b">
        <f>IF(AND(E425&lt;1.5,E425&gt;0.5),TRUE,FALSE)</f>
        <v>0</v>
      </c>
      <c r="I425" t="s">
        <v>450</v>
      </c>
      <c r="J425" t="s">
        <v>883</v>
      </c>
      <c r="K425" t="s">
        <v>468</v>
      </c>
      <c r="L425" s="1"/>
      <c r="M425" s="1"/>
    </row>
    <row r="426" spans="1:13" x14ac:dyDescent="0.2">
      <c r="A426" s="1" t="s">
        <v>428</v>
      </c>
      <c r="B426" s="1">
        <v>0.434</v>
      </c>
      <c r="C426" s="1">
        <v>1.01E-2</v>
      </c>
      <c r="D426" s="1">
        <v>0.55589999999999995</v>
      </c>
      <c r="E426" s="1">
        <f>C426/D426</f>
        <v>1.8168735384061881E-2</v>
      </c>
      <c r="F426" s="1" t="str">
        <f>IF(B426&lt;0.7,"True","False")</f>
        <v>True</v>
      </c>
      <c r="G426" s="1" t="b">
        <f>IF(OR(E426&gt;1.5,E426&lt;0.5),TRUE,FALSE)</f>
        <v>1</v>
      </c>
      <c r="H426" s="1" t="b">
        <f>IF(AND(E426&lt;1.5,E426&gt;0.5),TRUE,FALSE)</f>
        <v>0</v>
      </c>
      <c r="I426" t="s">
        <v>450</v>
      </c>
      <c r="J426" t="s">
        <v>884</v>
      </c>
      <c r="K426" t="s">
        <v>468</v>
      </c>
      <c r="L426" s="1"/>
      <c r="M426" s="1"/>
    </row>
    <row r="427" spans="1:13" x14ac:dyDescent="0.2">
      <c r="A427" s="1" t="s">
        <v>429</v>
      </c>
      <c r="B427" s="1">
        <v>0.41399999999999998</v>
      </c>
      <c r="C427" s="1">
        <v>1.04E-2</v>
      </c>
      <c r="D427" s="1">
        <v>0.5756</v>
      </c>
      <c r="E427" s="1">
        <f>C427/D427</f>
        <v>1.8068102849200834E-2</v>
      </c>
      <c r="F427" s="1" t="str">
        <f>IF(B427&lt;0.7,"True","False")</f>
        <v>True</v>
      </c>
      <c r="G427" s="1" t="b">
        <f>IF(OR(E427&gt;1.5,E427&lt;0.5),TRUE,FALSE)</f>
        <v>1</v>
      </c>
      <c r="H427" s="1" t="b">
        <f>IF(AND(E427&lt;1.5,E427&gt;0.5),TRUE,FALSE)</f>
        <v>0</v>
      </c>
      <c r="I427" t="s">
        <v>450</v>
      </c>
      <c r="J427" t="s">
        <v>885</v>
      </c>
      <c r="K427" t="s">
        <v>468</v>
      </c>
      <c r="L427" s="1"/>
      <c r="M427" s="1"/>
    </row>
    <row r="428" spans="1:13" x14ac:dyDescent="0.2">
      <c r="A428" s="1" t="s">
        <v>430</v>
      </c>
      <c r="B428" s="1">
        <v>0.66869999999999996</v>
      </c>
      <c r="C428" s="1">
        <v>5.4999999999999997E-3</v>
      </c>
      <c r="D428" s="1">
        <v>0.32590000000000002</v>
      </c>
      <c r="E428" s="1">
        <f>C428/D428</f>
        <v>1.6876342436330162E-2</v>
      </c>
      <c r="F428" s="1" t="str">
        <f>IF(B428&lt;0.7,"True","False")</f>
        <v>True</v>
      </c>
      <c r="G428" s="1" t="b">
        <f>IF(OR(E428&gt;1.5,E428&lt;0.5),TRUE,FALSE)</f>
        <v>1</v>
      </c>
      <c r="H428" s="1" t="b">
        <f>IF(AND(E428&lt;1.5,E428&gt;0.5),TRUE,FALSE)</f>
        <v>0</v>
      </c>
      <c r="I428" t="s">
        <v>450</v>
      </c>
      <c r="J428" t="s">
        <v>886</v>
      </c>
      <c r="K428" t="s">
        <v>468</v>
      </c>
      <c r="L428" s="1"/>
      <c r="M428" s="1"/>
    </row>
    <row r="429" spans="1:13" x14ac:dyDescent="0.2">
      <c r="A429" s="1" t="s">
        <v>431</v>
      </c>
      <c r="B429" s="1">
        <v>0.5837</v>
      </c>
      <c r="C429" s="1">
        <v>4.1999999999999997E-3</v>
      </c>
      <c r="D429" s="1">
        <v>0.41210000000000002</v>
      </c>
      <c r="E429" s="1">
        <f>C429/D429</f>
        <v>1.0191701043436058E-2</v>
      </c>
      <c r="F429" s="1" t="str">
        <f>IF(B429&lt;0.7,"True","False")</f>
        <v>True</v>
      </c>
      <c r="G429" s="1" t="b">
        <f>IF(OR(E429&gt;1.5,E429&lt;0.5),TRUE,FALSE)</f>
        <v>1</v>
      </c>
      <c r="H429" s="1" t="b">
        <f>IF(AND(E429&lt;1.5,E429&gt;0.5),TRUE,FALSE)</f>
        <v>0</v>
      </c>
      <c r="I429" t="s">
        <v>450</v>
      </c>
      <c r="J429" t="s">
        <v>887</v>
      </c>
      <c r="K429" t="s">
        <v>468</v>
      </c>
      <c r="L429" s="1"/>
      <c r="M429" s="1"/>
    </row>
    <row r="430" spans="1:13" x14ac:dyDescent="0.2">
      <c r="A430" s="1" t="s">
        <v>432</v>
      </c>
      <c r="B430" s="1">
        <v>0.99680000000000002</v>
      </c>
      <c r="C430" s="1">
        <v>1.4E-3</v>
      </c>
      <c r="D430" s="1">
        <v>1.9E-3</v>
      </c>
      <c r="E430" s="1">
        <f>C430/D430</f>
        <v>0.73684210526315785</v>
      </c>
      <c r="F430" s="1" t="str">
        <f>IF(B430&lt;0.7,"True","False")</f>
        <v>False</v>
      </c>
      <c r="G430" s="1" t="b">
        <f>IF(OR(E430&gt;1.5,E430&lt;0.5),TRUE,FALSE)</f>
        <v>0</v>
      </c>
      <c r="H430" s="1" t="b">
        <f>IF(AND(E430&lt;1.5,E430&gt;0.5),TRUE,FALSE)</f>
        <v>1</v>
      </c>
      <c r="I430" t="s">
        <v>450</v>
      </c>
      <c r="J430" t="s">
        <v>888</v>
      </c>
      <c r="K430" t="s">
        <v>468</v>
      </c>
      <c r="L430" s="1"/>
      <c r="M430" s="1"/>
    </row>
    <row r="431" spans="1:13" x14ac:dyDescent="0.2">
      <c r="A431" s="1" t="s">
        <v>433</v>
      </c>
      <c r="B431" s="1">
        <v>0.18229999999999999</v>
      </c>
      <c r="C431" s="1">
        <v>1.5800000000000002E-2</v>
      </c>
      <c r="D431" s="1">
        <v>0.80200000000000005</v>
      </c>
      <c r="E431" s="1">
        <f>C431/D431</f>
        <v>1.9700748129675812E-2</v>
      </c>
      <c r="F431" s="1" t="str">
        <f>IF(B431&lt;0.7,"True","False")</f>
        <v>True</v>
      </c>
      <c r="G431" s="1" t="b">
        <f>IF(OR(E431&gt;1.5,E431&lt;0.5),TRUE,FALSE)</f>
        <v>1</v>
      </c>
      <c r="H431" s="1" t="b">
        <f>IF(AND(E431&lt;1.5,E431&gt;0.5),TRUE,FALSE)</f>
        <v>0</v>
      </c>
      <c r="I431" t="s">
        <v>450</v>
      </c>
      <c r="J431" t="s">
        <v>889</v>
      </c>
      <c r="K431" t="s">
        <v>468</v>
      </c>
      <c r="L431" s="1"/>
      <c r="M431" s="1"/>
    </row>
    <row r="432" spans="1:13" x14ac:dyDescent="0.2">
      <c r="A432" s="1" t="s">
        <v>434</v>
      </c>
      <c r="B432" s="1">
        <v>0.8206</v>
      </c>
      <c r="C432" s="1">
        <v>3.5000000000000001E-3</v>
      </c>
      <c r="D432" s="1">
        <v>0.1759</v>
      </c>
      <c r="E432" s="1">
        <f>C432/D432</f>
        <v>1.9897669130187607E-2</v>
      </c>
      <c r="F432" s="1" t="str">
        <f>IF(B432&lt;0.7,"True","False")</f>
        <v>False</v>
      </c>
      <c r="G432" s="1" t="b">
        <f>IF(OR(E432&gt;1.5,E432&lt;0.5),TRUE,FALSE)</f>
        <v>1</v>
      </c>
      <c r="H432" s="1" t="b">
        <f>IF(AND(E432&lt;1.5,E432&gt;0.5),TRUE,FALSE)</f>
        <v>0</v>
      </c>
      <c r="I432" t="s">
        <v>450</v>
      </c>
      <c r="J432" t="s">
        <v>890</v>
      </c>
      <c r="K432" t="s">
        <v>468</v>
      </c>
      <c r="L432" s="1"/>
      <c r="M432" s="1"/>
    </row>
    <row r="433" spans="1:13" x14ac:dyDescent="0.2">
      <c r="A433" s="1" t="s">
        <v>435</v>
      </c>
      <c r="B433" s="1">
        <v>0.40089999999999998</v>
      </c>
      <c r="C433" s="1">
        <v>5.4999999999999997E-3</v>
      </c>
      <c r="D433" s="1">
        <v>0.59360000000000002</v>
      </c>
      <c r="E433" s="1">
        <f>C433/D433</f>
        <v>9.2654986522911036E-3</v>
      </c>
      <c r="F433" s="1" t="str">
        <f>IF(B433&lt;0.7,"True","False")</f>
        <v>True</v>
      </c>
      <c r="G433" s="1" t="b">
        <f>IF(OR(E433&gt;1.5,E433&lt;0.5),TRUE,FALSE)</f>
        <v>1</v>
      </c>
      <c r="H433" s="1" t="b">
        <f>IF(AND(E433&lt;1.5,E433&gt;0.5),TRUE,FALSE)</f>
        <v>0</v>
      </c>
      <c r="I433" t="s">
        <v>450</v>
      </c>
      <c r="J433" t="s">
        <v>891</v>
      </c>
      <c r="K433" t="s">
        <v>468</v>
      </c>
      <c r="L433" s="1"/>
      <c r="M433" s="1"/>
    </row>
    <row r="434" spans="1:13" x14ac:dyDescent="0.2">
      <c r="A434" s="1" t="s">
        <v>436</v>
      </c>
      <c r="B434" s="1">
        <v>0.99739999999999995</v>
      </c>
      <c r="C434" s="1">
        <v>2.0000000000000001E-4</v>
      </c>
      <c r="D434" s="1">
        <v>2.3E-3</v>
      </c>
      <c r="E434" s="1">
        <f>C434/D434</f>
        <v>8.6956521739130446E-2</v>
      </c>
      <c r="F434" s="1" t="str">
        <f>IF(B434&lt;0.7,"True","False")</f>
        <v>False</v>
      </c>
      <c r="G434" s="1" t="b">
        <f>IF(OR(E434&gt;1.5,E434&lt;0.5),TRUE,FALSE)</f>
        <v>1</v>
      </c>
      <c r="H434" s="1" t="b">
        <f>IF(AND(E434&lt;1.5,E434&gt;0.5),TRUE,FALSE)</f>
        <v>0</v>
      </c>
      <c r="I434" t="s">
        <v>450</v>
      </c>
      <c r="J434" t="s">
        <v>892</v>
      </c>
      <c r="K434" t="s">
        <v>468</v>
      </c>
      <c r="L434" s="1"/>
      <c r="M434" s="1"/>
    </row>
    <row r="435" spans="1:13" x14ac:dyDescent="0.2">
      <c r="A435" s="1" t="s">
        <v>437</v>
      </c>
      <c r="B435" s="1">
        <v>0.99250000000000005</v>
      </c>
      <c r="C435" s="1">
        <v>5.9999999999999995E-4</v>
      </c>
      <c r="D435" s="1">
        <v>6.8999999999999999E-3</v>
      </c>
      <c r="E435" s="1">
        <f>C435/D435</f>
        <v>8.6956521739130432E-2</v>
      </c>
      <c r="F435" s="1" t="str">
        <f>IF(B435&lt;0.7,"True","False")</f>
        <v>False</v>
      </c>
      <c r="G435" s="1" t="b">
        <f>IF(OR(E435&gt;1.5,E435&lt;0.5),TRUE,FALSE)</f>
        <v>1</v>
      </c>
      <c r="H435" s="1" t="b">
        <f>IF(AND(E435&lt;1.5,E435&gt;0.5),TRUE,FALSE)</f>
        <v>0</v>
      </c>
      <c r="I435" t="s">
        <v>450</v>
      </c>
      <c r="J435" t="s">
        <v>893</v>
      </c>
      <c r="K435" t="s">
        <v>468</v>
      </c>
      <c r="L435" s="1"/>
      <c r="M435" s="1"/>
    </row>
    <row r="436" spans="1:13" x14ac:dyDescent="0.2">
      <c r="A436" s="1" t="s">
        <v>438</v>
      </c>
      <c r="B436" s="1">
        <v>0.99429999999999996</v>
      </c>
      <c r="C436" s="1">
        <v>1E-3</v>
      </c>
      <c r="D436" s="1">
        <v>4.5999999999999999E-3</v>
      </c>
      <c r="E436" s="1">
        <f>C436/D436</f>
        <v>0.21739130434782611</v>
      </c>
      <c r="F436" s="1" t="str">
        <f>IF(B436&lt;0.7,"True","False")</f>
        <v>False</v>
      </c>
      <c r="G436" s="1" t="b">
        <f>IF(OR(E436&gt;1.5,E436&lt;0.5),TRUE,FALSE)</f>
        <v>1</v>
      </c>
      <c r="H436" s="1" t="b">
        <f>IF(AND(E436&lt;1.5,E436&gt;0.5),TRUE,FALSE)</f>
        <v>0</v>
      </c>
      <c r="I436" t="s">
        <v>450</v>
      </c>
      <c r="J436" t="s">
        <v>894</v>
      </c>
      <c r="K436" t="s">
        <v>468</v>
      </c>
      <c r="L436" s="1"/>
      <c r="M436" s="1"/>
    </row>
    <row r="437" spans="1:13" x14ac:dyDescent="0.2">
      <c r="A437" s="1" t="s">
        <v>439</v>
      </c>
      <c r="B437" s="1">
        <v>0.99509999999999998</v>
      </c>
      <c r="C437" s="1">
        <v>1.2999999999999999E-3</v>
      </c>
      <c r="D437" s="1">
        <v>3.5999999999999999E-3</v>
      </c>
      <c r="E437" s="1">
        <f>C437/D437</f>
        <v>0.3611111111111111</v>
      </c>
      <c r="F437" s="1" t="str">
        <f>IF(B437&lt;0.7,"True","False")</f>
        <v>False</v>
      </c>
      <c r="G437" s="1" t="b">
        <f>IF(OR(E437&gt;1.5,E437&lt;0.5),TRUE,FALSE)</f>
        <v>1</v>
      </c>
      <c r="H437" s="1" t="b">
        <f>IF(AND(E437&lt;1.5,E437&gt;0.5),TRUE,FALSE)</f>
        <v>0</v>
      </c>
      <c r="I437" t="s">
        <v>450</v>
      </c>
      <c r="J437" t="s">
        <v>895</v>
      </c>
      <c r="K437" t="s">
        <v>468</v>
      </c>
      <c r="L437" s="1"/>
      <c r="M437" s="1"/>
    </row>
  </sheetData>
  <autoFilter ref="A1:H437">
    <sortState ref="A2:H437">
      <sortCondition ref="A1:A437"/>
    </sortState>
  </autoFilter>
  <sortState ref="A2:K437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B15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2019-08-29T19:21:20Z</dcterms:created>
  <dcterms:modified xsi:type="dcterms:W3CDTF">2019-11-13T23:12:20Z</dcterms:modified>
</cp:coreProperties>
</file>